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1866cec64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eabc1f587a3645f0"/>
    <x:sheet xmlns:r="http://schemas.openxmlformats.org/officeDocument/2006/relationships" name="AD blank" sheetId="2" r:id="Rc2820da416c746a6"/>
    <x:sheet xmlns:r="http://schemas.openxmlformats.org/officeDocument/2006/relationships" name="TU blank" sheetId="3" r:id="R8e7a2c2183c84bd5"/>
    <x:sheet xmlns:r="http://schemas.openxmlformats.org/officeDocument/2006/relationships" name="PS blank" sheetId="4" r:id="R2deffafc249e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9">
    <x:font>
      <x:sz val="11"/>
      <x:name val="Carlito"/>
    </x:font>
    <x:font>
      <x:sz val="10"/>
      <x:color rgb="FF172033"/>
      <x:name val="Aptos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2"/>
      <x:color rgb="FF172033"/>
      <x:name val="Aptos"/>
    </x:font>
    <x:font>
      <x:b/>
      <x:sz val="10"/>
      <x:color rgb="FF126D65"/>
      <x:name val="Aptos"/>
    </x:font>
    <x:font>
      <x:sz val="10"/>
      <x:color rgb="FF172033"/>
      <x:name val="Aptos"/>
    </x:font>
    <x:font>
      <x:sz val="10"/>
      <x:color rgb="FF172033"/>
      <x:name val="Carlito"/>
    </x:font>
    <x:font>
      <x:i/>
      <x:sz val="9"/>
      <x:color rgb="FF526178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26D65"/>
      </x:patternFill>
    </x:fill>
    <x:fill>
      <x:patternFill patternType="solid">
        <x:fgColor rgb="FFE2F5F1"/>
      </x:patternFill>
    </x:fill>
    <x:fill>
      <x:patternFill patternType="solid">
        <x:fgColor rgb="FF1F9D8F"/>
      </x:patternFill>
    </x:fill>
    <x:fill>
      <x:patternFill patternType="solid">
        <x:fgColor rgb="FFF4F7FB"/>
      </x:patternFill>
    </x:fill>
    <x:fill>
      <x:patternFill patternType="solid">
        <x:fgColor rgb="FFEAF2FF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</x:fills>
  <x:borders count="19">
    <x:border/>
    <x:border>
      <x:left style="thin">
        <x:color rgb="FFC8D3E3"/>
      </x:left>
      <x:top style="thin">
        <x:color rgb="FFC8D3E3"/>
      </x:top>
    </x:border>
    <x:border>
      <x:top style="thin">
        <x:color rgb="FFC8D3E3"/>
      </x:top>
    </x:border>
    <x:border>
      <x:right style="thin">
        <x:color rgb="FFC8D3E3"/>
      </x:right>
      <x:top style="thin">
        <x:color rgb="FFC8D3E3"/>
      </x:top>
    </x:border>
    <x:border>
      <x:left style="thin">
        <x:color rgb="FFC8D3E3"/>
      </x:left>
    </x:border>
    <x:border>
      <x:right style="thin">
        <x:color rgb="FFC8D3E3"/>
      </x:right>
    </x:border>
    <x:border>
      <x:left style="thin">
        <x:color rgb="FFC8D3E3"/>
      </x:left>
      <x:bottom style="thin">
        <x:color rgb="FFC8D3E3"/>
      </x:bottom>
    </x:border>
    <x:border>
      <x:bottom style="thin">
        <x:color rgb="FFC8D3E3"/>
      </x:bottom>
    </x:border>
    <x:border>
      <x:right style="thin">
        <x:color rgb="FFC8D3E3"/>
      </x:right>
      <x:bottom style="thin">
        <x:color rgb="FFC8D3E3"/>
      </x:bottom>
    </x:border>
    <x:border>
      <x:left style="thin">
        <x:color rgb="FFC8D3E3"/>
      </x:left>
      <x:right style="thin">
        <x:color rgb="FFC8D3E3"/>
      </x:right>
      <x:top style="thin">
        <x:color rgb="FFC8D3E3"/>
      </x:top>
      <x:bottom style="thin">
        <x:color rgb="FFC8D3E3"/>
      </x:bottom>
    </x:border>
    <x:border>
      <x:left style="medium">
        <x:color rgb="FFD6A800"/>
      </x:left>
      <x:right style="medium">
        <x:color rgb="FFD6A800"/>
      </x:right>
      <x:top style="medium">
        <x:color rgb="FFD6A800"/>
      </x:top>
      <x:bottom style="medium">
        <x:color rgb="FFD6A800"/>
      </x:bottom>
    </x:border>
    <x:border>
      <x:left style="thin">
        <x:color rgb="FFE8C66B"/>
      </x:left>
      <x:top style="thin">
        <x:color rgb="FFE8C66B"/>
      </x:top>
    </x:border>
    <x:border>
      <x:top style="thin">
        <x:color rgb="FFE8C66B"/>
      </x:top>
    </x:border>
    <x:border>
      <x:right style="thin">
        <x:color rgb="FFE8C66B"/>
      </x:right>
      <x:top style="thin">
        <x:color rgb="FFE8C66B"/>
      </x:top>
    </x:border>
    <x:border>
      <x:left style="thin">
        <x:color rgb="FFE8C66B"/>
      </x:left>
    </x:border>
    <x:border>
      <x:right style="thin">
        <x:color rgb="FFE8C66B"/>
      </x:right>
    </x:border>
    <x:border>
      <x:left style="thin">
        <x:color rgb="FFE8C66B"/>
      </x:left>
      <x:bottom style="thin">
        <x:color rgb="FFE8C66B"/>
      </x:bottom>
    </x:border>
    <x:border>
      <x:bottom style="thin">
        <x:color rgb="FFE8C66B"/>
      </x:bottom>
    </x:border>
    <x:border>
      <x:right style="thin">
        <x:color rgb="FFE8C66B"/>
      </x:right>
      <x:bottom style="thin">
        <x:color rgb="FFE8C66B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horizontal="center" vertical="top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200" fontId="1" fillId="6" borderId="9" xfId="0" applyNumberFormat="1" applyFont="1" applyFill="1" applyBorder="1" applyAlignment="1">
      <x:alignment vertical="top" wrapText="1"/>
    </x:xf>
    <x:xf numFmtId="200" fontId="1" fillId="6" borderId="9" xfId="0" applyNumberFormat="1" applyFont="1" applyFill="1" applyBorder="1" applyAlignment="1">
      <x:alignment horizontal="right" vertical="top" wrapText="1"/>
    </x:xf>
    <x:xf numFmtId="200" fontId="1" fillId="6" borderId="9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0" xfId="0" applyNumberFormat="1" applyFont="1" applyFill="1" applyBorder="1" applyAlignment="1">
      <x:alignment vertical="top" wrapText="1"/>
    </x:xf>
    <x:xf numFmtId="200" fontId="1" fillId="7" borderId="10" xfId="0" applyNumberFormat="1" applyFont="1" applyFill="1" applyBorder="1" applyAlignment="1">
      <x:alignment vertical="top" wrapText="1"/>
    </x:xf>
    <x:xf numFmtId="200" fontId="1" fillId="7" borderId="10" xfId="0" applyNumberFormat="1" applyFont="1" applyFill="1" applyBorder="1" applyAlignment="1">
      <x:alignment horizontal="right" vertical="top" wrapText="1"/>
    </x:xf>
    <x:xf numFmtId="200" fontId="1" fillId="7" borderId="10" xfId="0" applyNumberFormat="1" applyFont="1" applyFill="1" applyBorder="1" applyAlignment="1">
      <x:alignment horizontal="right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1" xfId="0" applyNumberFormat="1" applyFont="1" applyFill="1" applyBorder="1" applyAlignment="1">
      <x:alignment vertical="top" wrapText="1"/>
    </x:xf>
    <x:xf numFmtId="0" fontId="8" fillId="8" borderId="12" xfId="0" applyNumberFormat="1" applyFont="1" applyFill="1" applyBorder="1" applyAlignment="1">
      <x:alignment vertical="top" wrapText="1"/>
    </x:xf>
    <x:xf numFmtId="0" fontId="8" fillId="8" borderId="13" xfId="0" applyNumberFormat="1" applyFont="1" applyFill="1" applyBorder="1" applyAlignment="1">
      <x:alignment vertical="top" wrapText="1"/>
    </x:xf>
    <x:xf numFmtId="0" fontId="8" fillId="8" borderId="14" xfId="0" applyNumberFormat="1" applyFont="1" applyFill="1" applyBorder="1" applyAlignment="1">
      <x:alignment vertical="top" wrapText="1"/>
    </x:xf>
    <x:xf numFmtId="0" fontId="8" fillId="8" borderId="15" xfId="0" applyNumberFormat="1" applyFont="1" applyFill="1" applyBorder="1" applyAlignment="1">
      <x:alignment vertical="top" wrapText="1"/>
    </x:xf>
    <x:xf numFmtId="0" fontId="8" fillId="8" borderId="16" xfId="0" applyNumberFormat="1" applyFont="1" applyFill="1" applyBorder="1" applyAlignment="1">
      <x:alignment vertical="top" wrapText="1"/>
    </x:xf>
    <x:xf numFmtId="0" fontId="8" fillId="8" borderId="17" xfId="0" applyNumberFormat="1" applyFont="1" applyFill="1" applyBorder="1" applyAlignment="1">
      <x:alignment vertical="top" wrapText="1"/>
    </x:xf>
    <x:xf numFmtId="0" fontId="8" fillId="8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7b3b04b5e4bca" /><Relationship Type="http://schemas.openxmlformats.org/officeDocument/2006/relationships/theme" Target="/xl/theme/theme1.xml" Id="R3c0a916802f446e6" /><Relationship Type="http://schemas.openxmlformats.org/officeDocument/2006/relationships/sharedStrings" Target="/xl/sharedStrings.xml" Id="Ra2b37178cc814589" /><Relationship Type="http://schemas.openxmlformats.org/officeDocument/2006/relationships/worksheet" Target="/xl/worksheets/sheet1.xml" Id="Reabc1f587a3645f0" /><Relationship Type="http://schemas.openxmlformats.org/officeDocument/2006/relationships/worksheet" Target="/xl/worksheets/sheet2.xml" Id="Rc2820da416c746a6" /><Relationship Type="http://schemas.openxmlformats.org/officeDocument/2006/relationships/worksheet" Target="/xl/worksheets/sheet3.xml" Id="R8e7a2c2183c84bd5" /><Relationship Type="http://schemas.openxmlformats.org/officeDocument/2006/relationships/worksheet" Target="/xl/worksheets/sheet4.xml" Id="R2deffafc249e40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6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" t="str">
        <x:v>ESMM mock exam blank workbook</x:v>
      </x:c>
      <x:c r="B1" s="7" t="str">
        <x:v>ESMM mock exam blank workbook</x:v>
      </x:c>
      <x:c r="C1" s="7" t="str">
        <x:v>ESMM mock exam blank workbook</x:v>
      </x:c>
      <x:c r="D1" s="7" t="str">
        <x:v>ESMM mock exam blank workbook</x:v>
      </x:c>
      <x:c r="E1" s="7" t="str">
        <x:v>ESMM mock exam blank workbook</x:v>
      </x:c>
      <x:c r="F1" s="7" t="str">
        <x:v>ESMM mock exam blank workbook</x:v>
      </x:c>
      <x:c r="G1" s="7" t="str">
        <x:v>ESMM mock exam blank workbook</x:v>
      </x:c>
      <x:c r="H1" s="7" t="str">
        <x:v>ESMM mock exam blank workbook</x:v>
      </x:c>
    </x:row>
    <x:row r="2">
      <x:c r="A2" s="7" t="str">
        <x:v>ESMM mock exam blank workbook</x:v>
      </x:c>
      <x:c r="B2" s="7" t="str">
        <x:v>ESMM mock exam blank workbook</x:v>
      </x:c>
      <x:c r="C2" s="7" t="str">
        <x:v>ESMM mock exam blank workbook</x:v>
      </x:c>
      <x:c r="D2" s="7" t="str">
        <x:v>ESMM mock exam blank workbook</x:v>
      </x:c>
      <x:c r="E2" s="7" t="str">
        <x:v>ESMM mock exam blank workbook</x:v>
      </x:c>
      <x:c r="F2" s="7" t="str">
        <x:v>ESMM mock exam blank workbook</x:v>
      </x:c>
      <x:c r="G2" s="7" t="str">
        <x:v>ESMM mock exam blank workbook</x:v>
      </x:c>
      <x:c r="H2" s="7" t="str">
        <x:v>ESMM mock exam blank workbook</x:v>
      </x:c>
    </x:row>
    <x:row r="3">
      <x:c r="A3" s="8" t="str">
        <x:v>Blank version of the website simulation. Answer cells are highlighted yellow. No answer formulas are included in the target cells.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12" t="str">
        <x:v>How to use this</x:v>
      </x:c>
      <x:c r="B6" s="12" t="str">
        <x:v>How to use this</x:v>
      </x:c>
      <x:c r="C6" s="12" t="str">
        <x:v>How to use this</x:v>
      </x:c>
      <x:c r="D6" s="12" t="str">
        <x:v>How to use this</x:v>
      </x:c>
      <x:c r="E6" s="12" t="str">
        <x:v>How to use this</x:v>
      </x:c>
      <x:c r="F6" s="12" t="str">
        <x:v>How to use this</x:v>
      </x:c>
      <x:c r="G6" s="12" t="str">
        <x:v>How to use this</x:v>
      </x:c>
      <x:c r="H6" s="12" t="str">
        <x:v>How to use this</x:v>
      </x:c>
    </x:row>
    <x:row r="7">
      <x:c r="A7" s="15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7" s="16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7" s="16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7" s="16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7" s="16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7" s="16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7" s="16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7" s="17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8">
      <x:c r="A8" s="18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8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8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8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8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8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8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8" s="19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9">
      <x:c r="A9" s="18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9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9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9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9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9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9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9" s="19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10">
      <x:c r="A10" s="18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10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10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10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10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10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10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10" s="19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11">
      <x:c r="A11" s="18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11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11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11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11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11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11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11" s="19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12">
      <x:c r="A12" s="18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12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12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12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12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12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12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12" s="19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13">
      <x:c r="A13" s="18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13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13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13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13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13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13" s="14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13" s="19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14">
      <x:c r="A14" s="20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B14" s="21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C14" s="21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D14" s="21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E14" s="21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F14" s="21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G14" s="21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  <x:c r="H14" s="22" t="str">
        <x:v>1. Treat this like the exam: fill the yellow cells only.
2. You may use formulas, cell references, and helper cells if useful.
3. Check answer format: probability vs percent, base SI units, and requested decimals.
4. Do AD, TU, then PS in one sitting if you want a realistic timed pass.
5. This workbook intentionally contains no solution sheet.</x:v>
      </x:c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>
      <x:c r="A16" s="12" t="str">
        <x:v>Sheets</x:v>
      </x:c>
      <x:c r="B16" s="12" t="str">
        <x:v>Sheets</x:v>
      </x:c>
      <x:c r="C16" s="12" t="str">
        <x:v>Sheets</x:v>
      </x:c>
      <x:c r="D16" s="12" t="str">
        <x:v>Sheets</x:v>
      </x:c>
      <x:c r="E16" s="12" t="str">
        <x:v>Sheets</x:v>
      </x:c>
      <x:c r="F16" s="12" t="str">
        <x:v>Sheets</x:v>
      </x:c>
      <x:c r="G16" s="12" t="str">
        <x:v>Sheets</x:v>
      </x:c>
      <x:c r="H16" s="12" t="str">
        <x:v>Sheets</x:v>
      </x:c>
    </x:row>
    <x:row r="17">
      <x:c r="A17" s="26" t="str">
        <x:v>AD blank</x:v>
      </x:c>
      <x:c r="B17" s="26" t="str">
        <x:v>Data Analysis</x:v>
      </x:c>
      <x:c r="C17" s="26" t="str">
        <x:v>Chauvenet outlier detection</x:v>
      </x:c>
      <x:c r="D17" s="3"/>
      <x:c r="E17" s="3"/>
      <x:c r="F17" s="3"/>
      <x:c r="G17" s="3"/>
      <x:c r="H17" s="3"/>
    </x:row>
    <x:row r="18">
      <x:c r="A18" s="29" t="str">
        <x:v>TU blank</x:v>
      </x:c>
      <x:c r="B18" s="29" t="str">
        <x:v>Uncertainty</x:v>
      </x:c>
      <x:c r="C18" s="29" t="str">
        <x:v>Flexometer cosine-error uncertainty budget</x:v>
      </x:c>
      <x:c r="D18" s="3"/>
      <x:c r="E18" s="3"/>
      <x:c r="F18" s="3"/>
      <x:c r="G18" s="3"/>
      <x:c r="H18" s="3"/>
    </x:row>
    <x:row r="19">
      <x:c r="A19" s="29" t="str">
        <x:v>PS blank</x:v>
      </x:c>
      <x:c r="B19" s="29" t="str">
        <x:v>Probability &amp; Statistics</x:v>
      </x:c>
      <x:c r="C19" s="29" t="str">
        <x:v>Two-phase hypergeometric acceptance sampling</x:v>
      </x:c>
      <x:c r="D19" s="3"/>
      <x:c r="E19" s="3"/>
      <x:c r="F19" s="3"/>
      <x:c r="G19" s="3"/>
      <x:c r="H19" s="3"/>
    </x:row>
    <x:row r="20">
      <x:c r="A20" s="29" t="str"/>
      <x:c r="B20" s="29" t="str"/>
      <x:c r="C20" s="29" t="str"/>
      <x:c r="D20" s="3"/>
      <x:c r="E20" s="3"/>
      <x:c r="F20" s="3"/>
      <x:c r="G20" s="3"/>
      <x:c r="H20" s="3"/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3"/>
      <x:c r="B23" s="3"/>
      <x:c r="C23" s="3"/>
      <x:c r="D23" s="3"/>
      <x:c r="E23" s="3"/>
      <x:c r="F23" s="3"/>
      <x:c r="G23" s="3"/>
      <x:c r="H23" s="3"/>
    </x:row>
    <x:row r="24">
      <x:c r="A24" s="3"/>
      <x:c r="B24" s="3"/>
      <x:c r="C24" s="3"/>
      <x:c r="D24" s="3"/>
      <x:c r="E24" s="3"/>
      <x:c r="F24" s="3"/>
      <x:c r="G24" s="3"/>
      <x:c r="H24" s="3"/>
    </x:row>
    <x:row r="25">
      <x:c r="A25" s="3"/>
      <x:c r="B25" s="3"/>
      <x:c r="C25" s="3"/>
      <x:c r="D25" s="3"/>
      <x:c r="E25" s="3"/>
      <x:c r="F25" s="3"/>
      <x:c r="G25" s="3"/>
      <x:c r="H25" s="3"/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>
      <x:c r="A28" s="3"/>
      <x:c r="B28" s="3"/>
      <x:c r="C28" s="3"/>
      <x:c r="D28" s="3"/>
      <x:c r="E28" s="3"/>
      <x:c r="F28" s="3"/>
      <x:c r="G28" s="3"/>
      <x:c r="H28" s="3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  <x:row r="49">
      <x:c r="A49" s="3"/>
      <x:c r="B49" s="3"/>
      <x:c r="C49" s="3"/>
      <x:c r="D49" s="3"/>
      <x:c r="E49" s="3"/>
      <x:c r="F49" s="3"/>
      <x:c r="G49" s="3"/>
      <x:c r="H49" s="3"/>
    </x:row>
    <x:row r="50">
      <x:c r="A50" s="3"/>
      <x:c r="B50" s="3"/>
      <x:c r="C50" s="3"/>
      <x:c r="D50" s="3"/>
      <x:c r="E50" s="3"/>
      <x:c r="F50" s="3"/>
      <x:c r="G50" s="3"/>
      <x:c r="H50" s="3"/>
    </x:row>
    <x:row r="51">
      <x:c r="A51" s="3"/>
      <x:c r="B51" s="3"/>
      <x:c r="C51" s="3"/>
      <x:c r="D51" s="3"/>
      <x:c r="E51" s="3"/>
      <x:c r="F51" s="3"/>
      <x:c r="G51" s="3"/>
      <x:c r="H51" s="3"/>
    </x:row>
    <x:row r="52">
      <x:c r="A52" s="3"/>
      <x:c r="B52" s="3"/>
      <x:c r="C52" s="3"/>
      <x:c r="D52" s="3"/>
      <x:c r="E52" s="3"/>
      <x:c r="F52" s="3"/>
      <x:c r="G52" s="3"/>
      <x:c r="H52" s="3"/>
    </x:row>
    <x:row r="53">
      <x:c r="A53" s="3"/>
      <x:c r="B53" s="3"/>
      <x:c r="C53" s="3"/>
      <x:c r="D53" s="3"/>
      <x:c r="E53" s="3"/>
      <x:c r="F53" s="3"/>
      <x:c r="G53" s="3"/>
      <x:c r="H53" s="3"/>
    </x:row>
    <x:row r="54">
      <x:c r="A54" s="3"/>
      <x:c r="B54" s="3"/>
      <x:c r="C54" s="3"/>
      <x:c r="D54" s="3"/>
      <x:c r="E54" s="3"/>
      <x:c r="F54" s="3"/>
      <x:c r="G54" s="3"/>
      <x:c r="H54" s="3"/>
    </x:row>
    <x:row r="55">
      <x:c r="A55" s="3"/>
      <x:c r="B55" s="3"/>
      <x:c r="C55" s="3"/>
      <x:c r="D55" s="3"/>
      <x:c r="E55" s="3"/>
      <x:c r="F55" s="3"/>
      <x:c r="G55" s="3"/>
      <x:c r="H55" s="3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>
      <x:c r="A57" s="3"/>
      <x:c r="B57" s="3"/>
      <x:c r="C57" s="3"/>
      <x:c r="D57" s="3"/>
      <x:c r="E57" s="3"/>
      <x:c r="F57" s="3"/>
      <x:c r="G57" s="3"/>
      <x:c r="H57" s="3"/>
    </x:row>
    <x:row r="58">
      <x:c r="A58" s="3"/>
      <x:c r="B58" s="3"/>
      <x:c r="C58" s="3"/>
      <x:c r="D58" s="3"/>
      <x:c r="E58" s="3"/>
      <x:c r="F58" s="3"/>
      <x:c r="G58" s="3"/>
      <x:c r="H58" s="3"/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  <x:row r="61">
      <x:c r="A61" s="3"/>
      <x:c r="B61" s="3"/>
      <x:c r="C61" s="3"/>
      <x:c r="D61" s="3"/>
      <x:c r="E61" s="3"/>
      <x:c r="F61" s="3"/>
      <x:c r="G61" s="3"/>
      <x:c r="H61" s="3"/>
    </x:row>
    <x:row r="62">
      <x:c r="A62" s="3"/>
      <x:c r="B62" s="3"/>
      <x:c r="C62" s="3"/>
      <x:c r="D62" s="3"/>
      <x:c r="E62" s="3"/>
      <x:c r="F62" s="3"/>
      <x:c r="G62" s="3"/>
      <x:c r="H62" s="3"/>
    </x:row>
    <x:row r="63">
      <x:c r="A63" s="3"/>
      <x:c r="B63" s="3"/>
      <x:c r="C63" s="3"/>
      <x:c r="D63" s="3"/>
      <x:c r="E63" s="3"/>
      <x:c r="F63" s="3"/>
      <x:c r="G63" s="3"/>
      <x:c r="H63" s="3"/>
    </x:row>
    <x:row r="64">
      <x:c r="A64" s="3"/>
      <x:c r="B64" s="3"/>
      <x:c r="C64" s="3"/>
      <x:c r="D64" s="3"/>
      <x:c r="E64" s="3"/>
      <x:c r="F64" s="3"/>
      <x:c r="G64" s="3"/>
      <x:c r="H64" s="3"/>
    </x:row>
    <x:row r="65">
      <x:c r="A65" s="3"/>
      <x:c r="B65" s="3"/>
      <x:c r="C65" s="3"/>
      <x:c r="D65" s="3"/>
      <x:c r="E65" s="3"/>
      <x:c r="F65" s="3"/>
      <x:c r="G65" s="3"/>
      <x:c r="H65" s="3"/>
    </x:row>
    <x:row r="66">
      <x:c r="A66" s="3"/>
      <x:c r="B66" s="3"/>
      <x:c r="C66" s="3"/>
      <x:c r="D66" s="3"/>
      <x:c r="E66" s="3"/>
      <x:c r="F66" s="3"/>
      <x:c r="G66" s="3"/>
      <x:c r="H66" s="3"/>
    </x:row>
    <x:row r="67">
      <x:c r="A67" s="3"/>
      <x:c r="B67" s="3"/>
      <x:c r="C67" s="3"/>
      <x:c r="D67" s="3"/>
      <x:c r="E67" s="3"/>
      <x:c r="F67" s="3"/>
      <x:c r="G67" s="3"/>
      <x:c r="H67" s="3"/>
    </x:row>
    <x:row r="68">
      <x:c r="A68" s="3"/>
      <x:c r="B68" s="3"/>
      <x:c r="C68" s="3"/>
      <x:c r="D68" s="3"/>
      <x:c r="E68" s="3"/>
      <x:c r="F68" s="3"/>
      <x:c r="G68" s="3"/>
      <x:c r="H68" s="3"/>
    </x:row>
    <x:row r="69">
      <x:c r="A69" s="3"/>
      <x:c r="B69" s="3"/>
      <x:c r="C69" s="3"/>
      <x:c r="D69" s="3"/>
      <x:c r="E69" s="3"/>
      <x:c r="F69" s="3"/>
      <x:c r="G69" s="3"/>
      <x:c r="H69" s="3"/>
    </x:row>
    <x:row r="70">
      <x:c r="A70" s="3"/>
      <x:c r="B70" s="3"/>
      <x:c r="C70" s="3"/>
      <x:c r="D70" s="3"/>
      <x:c r="E70" s="3"/>
      <x:c r="F70" s="3"/>
      <x:c r="G70" s="3"/>
      <x:c r="H70" s="3"/>
    </x:row>
    <x:row r="71">
      <x:c r="A71" s="3"/>
      <x:c r="B71" s="3"/>
      <x:c r="C71" s="3"/>
      <x:c r="D71" s="3"/>
      <x:c r="E71" s="3"/>
      <x:c r="F71" s="3"/>
      <x:c r="G71" s="3"/>
      <x:c r="H71" s="3"/>
    </x:row>
    <x:row r="72">
      <x:c r="A72" s="3"/>
      <x:c r="B72" s="3"/>
      <x:c r="C72" s="3"/>
      <x:c r="D72" s="3"/>
      <x:c r="E72" s="3"/>
      <x:c r="F72" s="3"/>
      <x:c r="G72" s="3"/>
      <x:c r="H72" s="3"/>
    </x:row>
    <x:row r="73">
      <x:c r="A73" s="3"/>
      <x:c r="B73" s="3"/>
      <x:c r="C73" s="3"/>
      <x:c r="D73" s="3"/>
      <x:c r="E73" s="3"/>
      <x:c r="F73" s="3"/>
      <x:c r="G73" s="3"/>
      <x:c r="H73" s="3"/>
    </x:row>
    <x:row r="74">
      <x:c r="A74" s="3"/>
      <x:c r="B74" s="3"/>
      <x:c r="C74" s="3"/>
      <x:c r="D74" s="3"/>
      <x:c r="E74" s="3"/>
      <x:c r="F74" s="3"/>
      <x:c r="G74" s="3"/>
      <x:c r="H74" s="3"/>
    </x:row>
    <x:row r="75">
      <x:c r="A75" s="3"/>
      <x:c r="B75" s="3"/>
      <x:c r="C75" s="3"/>
      <x:c r="D75" s="3"/>
      <x:c r="E75" s="3"/>
      <x:c r="F75" s="3"/>
      <x:c r="G75" s="3"/>
      <x:c r="H75" s="3"/>
    </x:row>
    <x:row r="76">
      <x:c r="A76" s="3"/>
      <x:c r="B76" s="3"/>
      <x:c r="C76" s="3"/>
      <x:c r="D76" s="3"/>
      <x:c r="E76" s="3"/>
      <x:c r="F76" s="3"/>
      <x:c r="G76" s="3"/>
      <x:c r="H76" s="3"/>
    </x:row>
    <x:row r="77">
      <x:c r="A77" s="3"/>
      <x:c r="B77" s="3"/>
      <x:c r="C77" s="3"/>
      <x:c r="D77" s="3"/>
      <x:c r="E77" s="3"/>
      <x:c r="F77" s="3"/>
      <x:c r="G77" s="3"/>
      <x:c r="H77" s="3"/>
    </x:row>
    <x:row r="78">
      <x:c r="A78" s="3"/>
      <x:c r="B78" s="3"/>
      <x:c r="C78" s="3"/>
      <x:c r="D78" s="3"/>
      <x:c r="E78" s="3"/>
      <x:c r="F78" s="3"/>
      <x:c r="G78" s="3"/>
      <x:c r="H78" s="3"/>
    </x:row>
    <x:row r="79">
      <x:c r="A79" s="3"/>
      <x:c r="B79" s="3"/>
      <x:c r="C79" s="3"/>
      <x:c r="D79" s="3"/>
      <x:c r="E79" s="3"/>
      <x:c r="F79" s="3"/>
      <x:c r="G79" s="3"/>
      <x:c r="H79" s="3"/>
    </x:row>
    <x:row r="80">
      <x:c r="A80" s="3"/>
      <x:c r="B80" s="3"/>
      <x:c r="C80" s="3"/>
      <x:c r="D80" s="3"/>
      <x:c r="E80" s="3"/>
      <x:c r="F80" s="3"/>
      <x:c r="G80" s="3"/>
      <x:c r="H80" s="3"/>
    </x:row>
  </x:sheetData>
  <x:mergeCells>
    <x:mergeCell ref="A1:H2"/>
    <x:mergeCell ref="A3:H4"/>
    <x:mergeCell ref="A6:H6"/>
    <x:mergeCell ref="A7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7" t="str">
        <x:v>AD — Data Analysis blank</x:v>
      </x:c>
      <x:c r="B1" s="7" t="str">
        <x:v>AD — Data Analysis blank</x:v>
      </x:c>
      <x:c r="C1" s="7" t="str">
        <x:v>AD — Data Analysis blank</x:v>
      </x:c>
      <x:c r="D1" s="7" t="str">
        <x:v>AD — Data Analysis blank</x:v>
      </x:c>
      <x:c r="E1" s="7" t="str">
        <x:v>AD — Data Analysis blank</x:v>
      </x:c>
      <x:c r="F1" s="7" t="str">
        <x:v>AD — Data Analysis blank</x:v>
      </x:c>
    </x:row>
    <x:row r="2">
      <x:c r="A2" s="7" t="str">
        <x:v>AD — Data Analysis blank</x:v>
      </x:c>
      <x:c r="B2" s="7" t="str">
        <x:v>AD — Data Analysis blank</x:v>
      </x:c>
      <x:c r="C2" s="7" t="str">
        <x:v>AD — Data Analysis blank</x:v>
      </x:c>
      <x:c r="D2" s="7" t="str">
        <x:v>AD — Data Analysis blank</x:v>
      </x:c>
      <x:c r="E2" s="7" t="str">
        <x:v>AD — Data Analysis blank</x:v>
      </x:c>
      <x:c r="F2" s="7" t="str">
        <x:v>AD — Data Analysis blank</x:v>
      </x:c>
    </x:row>
    <x:row r="3">
      <x:c r="A3" s="8" t="str">
        <x:v>Surface-roughness readings (µm) measured by 4 operators on 5 components of the same type. Apply Chauvenet's exclusion principle to flag possible outliers. Fill the yellow cells in column C.</x:v>
      </x:c>
      <x:c r="B3" s="8"/>
      <x:c r="C3" s="8"/>
      <x:c r="D3" s="8"/>
      <x:c r="E3" s="8"/>
      <x:c r="F3" s="8"/>
      <x:c r="G3" s="33"/>
      <x:c r="H3" s="33"/>
    </x:row>
    <x:row r="4">
      <x:c r="A4" s="8"/>
      <x:c r="B4" s="8"/>
      <x:c r="C4" s="8"/>
      <x:c r="D4" s="8"/>
      <x:c r="E4" s="8"/>
      <x:c r="F4" s="8"/>
      <x:c r="G4" s="33"/>
      <x:c r="H4" s="33"/>
    </x:row>
    <x:row r="5">
      <x:c r="A5" s="3"/>
      <x:c r="B5" s="3"/>
      <x:c r="C5" s="3"/>
      <x:c r="D5" s="3"/>
      <x:c r="E5" s="3"/>
      <x:c r="F5" s="3"/>
    </x:row>
    <x:row r="6">
      <x:c r="A6" s="12" t="str">
        <x:v>Data</x:v>
      </x:c>
      <x:c r="B6" s="12" t="str">
        <x:v>Chauvenet's exclusion principle</x:v>
      </x:c>
      <x:c r="C6" s="12" t="str">
        <x:v>Chauvenet's exclusion principle</x:v>
      </x:c>
      <x:c r="D6" s="3"/>
      <x:c r="E6" s="3"/>
      <x:c r="F6" s="3"/>
    </x:row>
    <x:row r="7">
      <x:c r="A7" s="26" t="str">
        <x:v>Surface roughness readings (µm), n = 20</x:v>
      </x:c>
      <x:c r="B7" s="29" t="str">
        <x:v>Sample average xbar =</x:v>
      </x:c>
      <x:c r="C7" s="43" t="str"/>
      <x:c r="D7" s="3"/>
      <x:c r="E7" s="3"/>
      <x:c r="F7" s="3"/>
    </x:row>
    <x:row r="8">
      <x:c r="A8" s="29" t="n">
        <x:v>43</x:v>
      </x:c>
      <x:c r="B8" s="29" t="str">
        <x:v>Sample standard deviation s =</x:v>
      </x:c>
      <x:c r="C8" s="43" t="str"/>
      <x:c r="D8" s="3"/>
      <x:c r="E8" s="3"/>
      <x:c r="F8" s="3"/>
    </x:row>
    <x:row r="9">
      <x:c r="A9" s="29" t="n">
        <x:v>42</x:v>
      </x:c>
      <x:c r="B9" s="29" t="str">
        <x:v>Number of data n =</x:v>
      </x:c>
      <x:c r="C9" s="38" t="n">
        <x:f>COUNT(A8:A27)</x:f>
        <x:v>20</x:v>
      </x:c>
      <x:c r="D9" s="3"/>
      <x:c r="E9" s="3"/>
      <x:c r="F9" s="3"/>
    </x:row>
    <x:row r="10">
      <x:c r="A10" s="29" t="n">
        <x:v>46</x:v>
      </x:c>
      <x:c r="B10" s="29" t="str">
        <x:v>Risk alpha = 1/(2n) =</x:v>
      </x:c>
      <x:c r="C10" s="43" t="str"/>
      <x:c r="D10" s="3"/>
      <x:c r="E10" s="3"/>
      <x:c r="F10" s="3"/>
    </x:row>
    <x:row r="11">
      <x:c r="A11" s="29" t="n">
        <x:v>44</x:v>
      </x:c>
      <x:c r="B11" s="29" t="str">
        <x:v>Limit factor z = NORM.S.INV(1-1/(4n)) =</x:v>
      </x:c>
      <x:c r="C11" s="43" t="str"/>
      <x:c r="D11" s="3"/>
      <x:c r="E11" s="3"/>
      <x:c r="F11" s="3"/>
    </x:row>
    <x:row r="12">
      <x:c r="A12" s="29" t="n">
        <x:v>48</x:v>
      </x:c>
      <x:c r="B12" s="29" t="str">
        <x:v>Exclusion lower limit =</x:v>
      </x:c>
      <x:c r="C12" s="43" t="str"/>
      <x:c r="D12" s="3"/>
      <x:c r="E12" s="3"/>
      <x:c r="F12" s="3"/>
    </x:row>
    <x:row r="13">
      <x:c r="A13" s="29" t="n">
        <x:v>44</x:v>
      </x:c>
      <x:c r="B13" s="29" t="str">
        <x:v>Exclusion upper limit =</x:v>
      </x:c>
      <x:c r="C13" s="43" t="str"/>
      <x:c r="D13" s="3"/>
      <x:c r="E13" s="3"/>
      <x:c r="F13" s="3"/>
    </x:row>
    <x:row r="14">
      <x:c r="A14" s="29" t="n">
        <x:v>48</x:v>
      </x:c>
      <x:c r="B14" s="29" t="str">
        <x:v>Outlier detected? (1=Yes, 0=No)</x:v>
      </x:c>
      <x:c r="C14" s="43" t="str"/>
      <x:c r="D14" s="3"/>
      <x:c r="E14" s="3"/>
      <x:c r="F14" s="3"/>
    </x:row>
    <x:row r="15">
      <x:c r="A15" s="29" t="n">
        <x:v>45</x:v>
      </x:c>
      <x:c r="B15" s="29" t="str">
        <x:v>Outlier value =</x:v>
      </x:c>
      <x:c r="C15" s="43" t="str"/>
      <x:c r="D15" s="3"/>
      <x:c r="E15" s="3"/>
      <x:c r="F15" s="3"/>
    </x:row>
    <x:row r="16">
      <x:c r="A16" s="29" t="n">
        <x:v>45</x:v>
      </x:c>
      <x:c r="B16" s="3"/>
      <x:c r="C16" s="3"/>
      <x:c r="D16" s="3"/>
      <x:c r="E16" s="3"/>
      <x:c r="F16" s="3"/>
    </x:row>
    <x:row r="17">
      <x:c r="A17" s="29" t="n">
        <x:v>47</x:v>
      </x:c>
      <x:c r="B17" s="46" t="str">
        <x:v>Remember: use STDEV.S, not STDEV.P. For Chauvenet, alpha is a probability. The z quantile uses 1 - 1/(4n), because the two-sided risk is split across two tails.</x:v>
      </x:c>
      <x:c r="C17" s="47" t="str">
        <x:v>Remember: use STDEV.S, not STDEV.P. For Chauvenet, alpha is a probability. The z quantile uses 1 - 1/(4n), because the two-sided risk is split across two tails.</x:v>
      </x:c>
      <x:c r="D17" s="47" t="str">
        <x:v>Remember: use STDEV.S, not STDEV.P. For Chauvenet, alpha is a probability. The z quantile uses 1 - 1/(4n), because the two-sided risk is split across two tails.</x:v>
      </x:c>
      <x:c r="E17" s="47" t="str">
        <x:v>Remember: use STDEV.S, not STDEV.P. For Chauvenet, alpha is a probability. The z quantile uses 1 - 1/(4n), because the two-sided risk is split across two tails.</x:v>
      </x:c>
      <x:c r="F17" s="48" t="str">
        <x:v>Remember: use STDEV.S, not STDEV.P. For Chauvenet, alpha is a probability. The z quantile uses 1 - 1/(4n), because the two-sided risk is split across two tails.</x:v>
      </x:c>
    </x:row>
    <x:row r="18">
      <x:c r="A18" s="29" t="n">
        <x:v>42</x:v>
      </x:c>
      <x:c r="B18" s="49" t="str">
        <x:v>Remember: use STDEV.S, not STDEV.P. For Chauvenet, alpha is a probability. The z quantile uses 1 - 1/(4n), because the two-sided risk is split across two tails.</x:v>
      </x:c>
      <x:c r="C18" s="45" t="str">
        <x:v>Remember: use STDEV.S, not STDEV.P. For Chauvenet, alpha is a probability. The z quantile uses 1 - 1/(4n), because the two-sided risk is split across two tails.</x:v>
      </x:c>
      <x:c r="D18" s="45" t="str">
        <x:v>Remember: use STDEV.S, not STDEV.P. For Chauvenet, alpha is a probability. The z quantile uses 1 - 1/(4n), because the two-sided risk is split across two tails.</x:v>
      </x:c>
      <x:c r="E18" s="45" t="str">
        <x:v>Remember: use STDEV.S, not STDEV.P. For Chauvenet, alpha is a probability. The z quantile uses 1 - 1/(4n), because the two-sided risk is split across two tails.</x:v>
      </x:c>
      <x:c r="F18" s="50" t="str">
        <x:v>Remember: use STDEV.S, not STDEV.P. For Chauvenet, alpha is a probability. The z quantile uses 1 - 1/(4n), because the two-sided risk is split across two tails.</x:v>
      </x:c>
    </x:row>
    <x:row r="19">
      <x:c r="A19" s="29" t="n">
        <x:v>46</x:v>
      </x:c>
      <x:c r="B19" s="49" t="str">
        <x:v>Remember: use STDEV.S, not STDEV.P. For Chauvenet, alpha is a probability. The z quantile uses 1 - 1/(4n), because the two-sided risk is split across two tails.</x:v>
      </x:c>
      <x:c r="C19" s="45" t="str">
        <x:v>Remember: use STDEV.S, not STDEV.P. For Chauvenet, alpha is a probability. The z quantile uses 1 - 1/(4n), because the two-sided risk is split across two tails.</x:v>
      </x:c>
      <x:c r="D19" s="45" t="str">
        <x:v>Remember: use STDEV.S, not STDEV.P. For Chauvenet, alpha is a probability. The z quantile uses 1 - 1/(4n), because the two-sided risk is split across two tails.</x:v>
      </x:c>
      <x:c r="E19" s="45" t="str">
        <x:v>Remember: use STDEV.S, not STDEV.P. For Chauvenet, alpha is a probability. The z quantile uses 1 - 1/(4n), because the two-sided risk is split across two tails.</x:v>
      </x:c>
      <x:c r="F19" s="50" t="str">
        <x:v>Remember: use STDEV.S, not STDEV.P. For Chauvenet, alpha is a probability. The z quantile uses 1 - 1/(4n), because the two-sided risk is split across two tails.</x:v>
      </x:c>
    </x:row>
    <x:row r="20">
      <x:c r="A20" s="29" t="n">
        <x:v>47</x:v>
      </x:c>
      <x:c r="B20" s="49" t="str">
        <x:v>Remember: use STDEV.S, not STDEV.P. For Chauvenet, alpha is a probability. The z quantile uses 1 - 1/(4n), because the two-sided risk is split across two tails.</x:v>
      </x:c>
      <x:c r="C20" s="45" t="str">
        <x:v>Remember: use STDEV.S, not STDEV.P. For Chauvenet, alpha is a probability. The z quantile uses 1 - 1/(4n), because the two-sided risk is split across two tails.</x:v>
      </x:c>
      <x:c r="D20" s="45" t="str">
        <x:v>Remember: use STDEV.S, not STDEV.P. For Chauvenet, alpha is a probability. The z quantile uses 1 - 1/(4n), because the two-sided risk is split across two tails.</x:v>
      </x:c>
      <x:c r="E20" s="45" t="str">
        <x:v>Remember: use STDEV.S, not STDEV.P. For Chauvenet, alpha is a probability. The z quantile uses 1 - 1/(4n), because the two-sided risk is split across two tails.</x:v>
      </x:c>
      <x:c r="F20" s="50" t="str">
        <x:v>Remember: use STDEV.S, not STDEV.P. For Chauvenet, alpha is a probability. The z quantile uses 1 - 1/(4n), because the two-sided risk is split across two tails.</x:v>
      </x:c>
    </x:row>
    <x:row r="21">
      <x:c r="A21" s="29" t="n">
        <x:v>41</x:v>
      </x:c>
      <x:c r="B21" s="51" t="str">
        <x:v>Remember: use STDEV.S, not STDEV.P. For Chauvenet, alpha is a probability. The z quantile uses 1 - 1/(4n), because the two-sided risk is split across two tails.</x:v>
      </x:c>
      <x:c r="C21" s="52" t="str">
        <x:v>Remember: use STDEV.S, not STDEV.P. For Chauvenet, alpha is a probability. The z quantile uses 1 - 1/(4n), because the two-sided risk is split across two tails.</x:v>
      </x:c>
      <x:c r="D21" s="52" t="str">
        <x:v>Remember: use STDEV.S, not STDEV.P. For Chauvenet, alpha is a probability. The z quantile uses 1 - 1/(4n), because the two-sided risk is split across two tails.</x:v>
      </x:c>
      <x:c r="E21" s="52" t="str">
        <x:v>Remember: use STDEV.S, not STDEV.P. For Chauvenet, alpha is a probability. The z quantile uses 1 - 1/(4n), because the two-sided risk is split across two tails.</x:v>
      </x:c>
      <x:c r="F21" s="53" t="str">
        <x:v>Remember: use STDEV.S, not STDEV.P. For Chauvenet, alpha is a probability. The z quantile uses 1 - 1/(4n), because the two-sided risk is split across two tails.</x:v>
      </x:c>
    </x:row>
    <x:row r="22">
      <x:c r="A22" s="29" t="n">
        <x:v>48</x:v>
      </x:c>
      <x:c r="B22" s="3"/>
      <x:c r="C22" s="3"/>
      <x:c r="D22" s="3"/>
      <x:c r="E22" s="3"/>
      <x:c r="F22" s="3"/>
    </x:row>
    <x:row r="23">
      <x:c r="A23" s="29" t="n">
        <x:v>36</x:v>
      </x:c>
      <x:c r="B23" s="3"/>
      <x:c r="C23" s="3"/>
      <x:c r="D23" s="3"/>
      <x:c r="E23" s="3"/>
      <x:c r="F23" s="3"/>
    </x:row>
    <x:row r="24">
      <x:c r="A24" s="29" t="n">
        <x:v>46</x:v>
      </x:c>
      <x:c r="B24" s="3"/>
      <x:c r="C24" s="3"/>
      <x:c r="D24" s="3"/>
      <x:c r="E24" s="3"/>
      <x:c r="F24" s="3"/>
    </x:row>
    <x:row r="25">
      <x:c r="A25" s="29" t="n">
        <x:v>48</x:v>
      </x:c>
      <x:c r="B25" s="3"/>
      <x:c r="C25" s="3"/>
      <x:c r="D25" s="3"/>
      <x:c r="E25" s="3"/>
      <x:c r="F25" s="3"/>
    </x:row>
    <x:row r="26">
      <x:c r="A26" s="29" t="n">
        <x:v>47</x:v>
      </x:c>
      <x:c r="B26" s="3"/>
      <x:c r="C26" s="3"/>
      <x:c r="D26" s="3"/>
      <x:c r="E26" s="3"/>
      <x:c r="F26" s="3"/>
    </x:row>
    <x:row r="27">
      <x:c r="A27" s="29" t="n">
        <x:v>45</x:v>
      </x:c>
      <x:c r="B27" s="3"/>
      <x:c r="C27" s="3"/>
      <x:c r="D27" s="3"/>
      <x:c r="E27" s="3"/>
      <x:c r="F27" s="3"/>
    </x:row>
    <x:row r="28">
      <x:c r="A28" s="3"/>
      <x:c r="B28" s="3"/>
      <x:c r="C28" s="3"/>
      <x:c r="D28" s="3"/>
      <x:c r="E28" s="3"/>
      <x:c r="F28" s="3"/>
    </x:row>
    <x:row r="29">
      <x:c r="A29" s="3"/>
      <x:c r="B29" s="3"/>
      <x:c r="C29" s="3"/>
      <x:c r="D29" s="3"/>
      <x:c r="E29" s="3"/>
      <x:c r="F29" s="3"/>
    </x:row>
    <x:row r="30">
      <x:c r="A30" s="3"/>
      <x:c r="B30" s="3"/>
      <x:c r="C30" s="3"/>
      <x:c r="D30" s="3"/>
      <x:c r="E30" s="3"/>
      <x:c r="F30" s="3"/>
    </x:row>
    <x:row r="31">
      <x:c r="A31" s="3"/>
      <x:c r="B31" s="3"/>
      <x:c r="C31" s="3"/>
      <x:c r="D31" s="3"/>
      <x:c r="E31" s="3"/>
      <x:c r="F31" s="3"/>
    </x:row>
    <x:row r="32">
      <x:c r="A32" s="3"/>
      <x:c r="B32" s="3"/>
      <x:c r="C32" s="3"/>
      <x:c r="D32" s="3"/>
      <x:c r="E32" s="3"/>
      <x:c r="F32" s="3"/>
    </x:row>
    <x:row r="33">
      <x:c r="A33" s="3"/>
      <x:c r="B33" s="3"/>
      <x:c r="C33" s="3"/>
      <x:c r="D33" s="3"/>
      <x:c r="E33" s="3"/>
      <x:c r="F33" s="3"/>
    </x:row>
    <x:row r="34">
      <x:c r="A34" s="3"/>
      <x:c r="B34" s="3"/>
      <x:c r="C34" s="3"/>
      <x:c r="D34" s="3"/>
      <x:c r="E34" s="3"/>
      <x:c r="F34" s="3"/>
    </x:row>
    <x:row r="35">
      <x:c r="A35" s="3"/>
      <x:c r="B35" s="3"/>
      <x:c r="C35" s="3"/>
      <x:c r="D35" s="3"/>
      <x:c r="E35" s="3"/>
      <x:c r="F35" s="3"/>
    </x:row>
    <x:row r="36">
      <x:c r="A36" s="3"/>
      <x:c r="B36" s="3"/>
      <x:c r="C36" s="3"/>
      <x:c r="D36" s="3"/>
      <x:c r="E36" s="3"/>
      <x:c r="F36" s="3"/>
    </x:row>
    <x:row r="37">
      <x:c r="A37" s="3"/>
      <x:c r="B37" s="3"/>
      <x:c r="C37" s="3"/>
      <x:c r="D37" s="3"/>
      <x:c r="E37" s="3"/>
      <x:c r="F37" s="3"/>
    </x:row>
    <x:row r="38">
      <x:c r="A38" s="3"/>
      <x:c r="B38" s="3"/>
      <x:c r="C38" s="3"/>
      <x:c r="D38" s="3"/>
      <x:c r="E38" s="3"/>
      <x:c r="F38" s="3"/>
    </x:row>
    <x:row r="39">
      <x:c r="A39" s="3"/>
      <x:c r="B39" s="3"/>
      <x:c r="C39" s="3"/>
      <x:c r="D39" s="3"/>
      <x:c r="E39" s="3"/>
      <x:c r="F39" s="3"/>
    </x:row>
    <x:row r="40">
      <x:c r="A40" s="3"/>
      <x:c r="B40" s="3"/>
      <x:c r="C40" s="3"/>
      <x:c r="D40" s="3"/>
      <x:c r="E40" s="3"/>
      <x:c r="F40" s="3"/>
    </x:row>
    <x:row r="41">
      <x:c r="A41" s="3"/>
      <x:c r="B41" s="3"/>
      <x:c r="C41" s="3"/>
      <x:c r="D41" s="3"/>
      <x:c r="E41" s="3"/>
      <x:c r="F41" s="3"/>
    </x:row>
    <x:row r="42">
      <x:c r="A42" s="3"/>
      <x:c r="B42" s="3"/>
      <x:c r="C42" s="3"/>
      <x:c r="D42" s="3"/>
      <x:c r="E42" s="3"/>
      <x:c r="F42" s="3"/>
    </x:row>
    <x:row r="43">
      <x:c r="A43" s="3"/>
      <x:c r="B43" s="3"/>
      <x:c r="C43" s="3"/>
      <x:c r="D43" s="3"/>
      <x:c r="E43" s="3"/>
      <x:c r="F43" s="3"/>
    </x:row>
    <x:row r="44">
      <x:c r="A44" s="3"/>
      <x:c r="B44" s="3"/>
      <x:c r="C44" s="3"/>
      <x:c r="D44" s="3"/>
      <x:c r="E44" s="3"/>
      <x:c r="F44" s="3"/>
    </x:row>
    <x:row r="45">
      <x:c r="A45" s="3"/>
      <x:c r="B45" s="3"/>
      <x:c r="C45" s="3"/>
      <x:c r="D45" s="3"/>
      <x:c r="E45" s="3"/>
      <x:c r="F45" s="3"/>
    </x:row>
    <x:row r="46">
      <x:c r="A46" s="3"/>
      <x:c r="B46" s="3"/>
      <x:c r="C46" s="3"/>
      <x:c r="D46" s="3"/>
      <x:c r="E46" s="3"/>
      <x:c r="F46" s="3"/>
    </x:row>
    <x:row r="47">
      <x:c r="A47" s="3"/>
      <x:c r="B47" s="3"/>
      <x:c r="C47" s="3"/>
      <x:c r="D47" s="3"/>
      <x:c r="E47" s="3"/>
      <x:c r="F47" s="3"/>
    </x:row>
    <x:row r="48">
      <x:c r="A48" s="3"/>
      <x:c r="B48" s="3"/>
      <x:c r="C48" s="3"/>
      <x:c r="D48" s="3"/>
      <x:c r="E48" s="3"/>
      <x:c r="F48" s="3"/>
    </x:row>
    <x:row r="49">
      <x:c r="A49" s="3"/>
      <x:c r="B49" s="3"/>
      <x:c r="C49" s="3"/>
      <x:c r="D49" s="3"/>
      <x:c r="E49" s="3"/>
      <x:c r="F49" s="3"/>
    </x:row>
    <x:row r="50">
      <x:c r="A50" s="3"/>
      <x:c r="B50" s="3"/>
      <x:c r="C50" s="3"/>
      <x:c r="D50" s="3"/>
      <x:c r="E50" s="3"/>
      <x:c r="F50" s="3"/>
    </x:row>
    <x:row r="51">
      <x:c r="A51" s="3"/>
      <x:c r="B51" s="3"/>
      <x:c r="C51" s="3"/>
      <x:c r="D51" s="3"/>
      <x:c r="E51" s="3"/>
      <x:c r="F51" s="3"/>
    </x:row>
    <x:row r="52">
      <x:c r="A52" s="3"/>
      <x:c r="B52" s="3"/>
      <x:c r="C52" s="3"/>
      <x:c r="D52" s="3"/>
      <x:c r="E52" s="3"/>
      <x:c r="F52" s="3"/>
    </x:row>
    <x:row r="53">
      <x:c r="A53" s="3"/>
      <x:c r="B53" s="3"/>
      <x:c r="C53" s="3"/>
      <x:c r="D53" s="3"/>
      <x:c r="E53" s="3"/>
      <x:c r="F53" s="3"/>
    </x:row>
    <x:row r="54">
      <x:c r="A54" s="3"/>
      <x:c r="B54" s="3"/>
      <x:c r="C54" s="3"/>
      <x:c r="D54" s="3"/>
      <x:c r="E54" s="3"/>
      <x:c r="F54" s="3"/>
    </x:row>
    <x:row r="55">
      <x:c r="A55" s="3"/>
      <x:c r="B55" s="3"/>
      <x:c r="C55" s="3"/>
      <x:c r="D55" s="3"/>
      <x:c r="E55" s="3"/>
      <x:c r="F55" s="3"/>
    </x:row>
    <x:row r="56">
      <x:c r="A56" s="3"/>
      <x:c r="B56" s="3"/>
      <x:c r="C56" s="3"/>
      <x:c r="D56" s="3"/>
      <x:c r="E56" s="3"/>
      <x:c r="F56" s="3"/>
    </x:row>
    <x:row r="57">
      <x:c r="A57" s="3"/>
      <x:c r="B57" s="3"/>
      <x:c r="C57" s="3"/>
      <x:c r="D57" s="3"/>
      <x:c r="E57" s="3"/>
      <x:c r="F57" s="3"/>
    </x:row>
    <x:row r="58">
      <x:c r="A58" s="3"/>
      <x:c r="B58" s="3"/>
      <x:c r="C58" s="3"/>
      <x:c r="D58" s="3"/>
      <x:c r="E58" s="3"/>
      <x:c r="F58" s="3"/>
    </x:row>
    <x:row r="59">
      <x:c r="A59" s="3"/>
      <x:c r="B59" s="3"/>
      <x:c r="C59" s="3"/>
      <x:c r="D59" s="3"/>
      <x:c r="E59" s="3"/>
      <x:c r="F59" s="3"/>
    </x:row>
    <x:row r="60">
      <x:c r="A60" s="3"/>
      <x:c r="B60" s="3"/>
      <x:c r="C60" s="3"/>
      <x:c r="D60" s="3"/>
      <x:c r="E60" s="3"/>
      <x:c r="F60" s="3"/>
    </x:row>
    <x:row r="61">
      <x:c r="A61" s="3"/>
      <x:c r="B61" s="3"/>
      <x:c r="C61" s="3"/>
      <x:c r="D61" s="3"/>
      <x:c r="E61" s="3"/>
      <x:c r="F61" s="3"/>
    </x:row>
    <x:row r="62">
      <x:c r="A62" s="3"/>
      <x:c r="B62" s="3"/>
      <x:c r="C62" s="3"/>
      <x:c r="D62" s="3"/>
      <x:c r="E62" s="3"/>
      <x:c r="F62" s="3"/>
    </x:row>
    <x:row r="63">
      <x:c r="A63" s="3"/>
      <x:c r="B63" s="3"/>
      <x:c r="C63" s="3"/>
      <x:c r="D63" s="3"/>
      <x:c r="E63" s="3"/>
      <x:c r="F63" s="3"/>
    </x:row>
    <x:row r="64">
      <x:c r="A64" s="3"/>
      <x:c r="B64" s="3"/>
      <x:c r="C64" s="3"/>
      <x:c r="D64" s="3"/>
      <x:c r="E64" s="3"/>
      <x:c r="F64" s="3"/>
    </x:row>
    <x:row r="65">
      <x:c r="A65" s="3"/>
      <x:c r="B65" s="3"/>
      <x:c r="C65" s="3"/>
      <x:c r="D65" s="3"/>
      <x:c r="E65" s="3"/>
      <x:c r="F65" s="3"/>
    </x:row>
    <x:row r="66">
      <x:c r="A66" s="3"/>
      <x:c r="B66" s="3"/>
      <x:c r="C66" s="3"/>
      <x:c r="D66" s="3"/>
      <x:c r="E66" s="3"/>
      <x:c r="F66" s="3"/>
    </x:row>
    <x:row r="67">
      <x:c r="A67" s="3"/>
      <x:c r="B67" s="3"/>
      <x:c r="C67" s="3"/>
      <x:c r="D67" s="3"/>
      <x:c r="E67" s="3"/>
      <x:c r="F67" s="3"/>
    </x:row>
    <x:row r="68">
      <x:c r="A68" s="3"/>
      <x:c r="B68" s="3"/>
      <x:c r="C68" s="3"/>
      <x:c r="D68" s="3"/>
      <x:c r="E68" s="3"/>
      <x:c r="F68" s="3"/>
    </x:row>
    <x:row r="69">
      <x:c r="A69" s="3"/>
      <x:c r="B69" s="3"/>
      <x:c r="C69" s="3"/>
      <x:c r="D69" s="3"/>
      <x:c r="E69" s="3"/>
      <x:c r="F69" s="3"/>
    </x:row>
    <x:row r="70">
      <x:c r="A70" s="3"/>
      <x:c r="B70" s="3"/>
      <x:c r="C70" s="3"/>
      <x:c r="D70" s="3"/>
      <x:c r="E70" s="3"/>
      <x:c r="F70" s="3"/>
    </x:row>
    <x:row r="71">
      <x:c r="A71" s="3"/>
      <x:c r="B71" s="3"/>
      <x:c r="C71" s="3"/>
      <x:c r="D71" s="3"/>
      <x:c r="E71" s="3"/>
      <x:c r="F71" s="3"/>
    </x:row>
    <x:row r="72">
      <x:c r="A72" s="3"/>
      <x:c r="B72" s="3"/>
      <x:c r="C72" s="3"/>
      <x:c r="D72" s="3"/>
      <x:c r="E72" s="3"/>
      <x:c r="F72" s="3"/>
    </x:row>
    <x:row r="73">
      <x:c r="A73" s="3"/>
      <x:c r="B73" s="3"/>
      <x:c r="C73" s="3"/>
      <x:c r="D73" s="3"/>
      <x:c r="E73" s="3"/>
      <x:c r="F73" s="3"/>
    </x:row>
    <x:row r="74">
      <x:c r="A74" s="3"/>
      <x:c r="B74" s="3"/>
      <x:c r="C74" s="3"/>
      <x:c r="D74" s="3"/>
      <x:c r="E74" s="3"/>
      <x:c r="F74" s="3"/>
    </x:row>
    <x:row r="75">
      <x:c r="A75" s="3"/>
      <x:c r="B75" s="3"/>
      <x:c r="C75" s="3"/>
      <x:c r="D75" s="3"/>
      <x:c r="E75" s="3"/>
      <x:c r="F75" s="3"/>
    </x:row>
    <x:row r="76">
      <x:c r="A76" s="3"/>
      <x:c r="B76" s="3"/>
      <x:c r="C76" s="3"/>
      <x:c r="D76" s="3"/>
      <x:c r="E76" s="3"/>
      <x:c r="F76" s="3"/>
    </x:row>
    <x:row r="77">
      <x:c r="A77" s="3"/>
      <x:c r="B77" s="3"/>
      <x:c r="C77" s="3"/>
      <x:c r="D77" s="3"/>
      <x:c r="E77" s="3"/>
      <x:c r="F77" s="3"/>
    </x:row>
    <x:row r="78">
      <x:c r="A78" s="3"/>
      <x:c r="B78" s="3"/>
      <x:c r="C78" s="3"/>
      <x:c r="D78" s="3"/>
      <x:c r="E78" s="3"/>
      <x:c r="F78" s="3"/>
    </x:row>
    <x:row r="79">
      <x:c r="A79" s="3"/>
      <x:c r="B79" s="3"/>
      <x:c r="C79" s="3"/>
      <x:c r="D79" s="3"/>
      <x:c r="E79" s="3"/>
      <x:c r="F79" s="3"/>
    </x:row>
    <x:row r="80">
      <x:c r="A80" s="3"/>
      <x:c r="B80" s="3"/>
      <x:c r="C80" s="3"/>
      <x:c r="D80" s="3"/>
      <x:c r="E80" s="3"/>
      <x:c r="F80" s="3"/>
    </x:row>
  </x:sheetData>
  <x:mergeCells>
    <x:mergeCell ref="A1:F2"/>
    <x:mergeCell ref="A3:H4"/>
    <x:mergeCell ref="B6:C6"/>
    <x:mergeCell ref="B17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2" hidden="0" customWidth="1"/>
    <x:col min="8" max="8" width="12" hidden="0" customWidth="1"/>
  </x:cols>
  <x:sheetData>
    <x:row r="1">
      <x:c r="A1" s="7" t="str">
        <x:v>TU — Uncertainty blank</x:v>
      </x:c>
      <x:c r="B1" s="7" t="str">
        <x:v>TU — Uncertainty blank</x:v>
      </x:c>
      <x:c r="C1" s="7" t="str">
        <x:v>TU — Uncertainty blank</x:v>
      </x:c>
      <x:c r="D1" s="7" t="str">
        <x:v>TU — Uncertainty blank</x:v>
      </x:c>
      <x:c r="E1" s="7" t="str">
        <x:v>TU — Uncertainty blank</x:v>
      </x:c>
      <x:c r="F1" s="7" t="str">
        <x:v>TU — Uncertainty blank</x:v>
      </x:c>
      <x:c r="G1" s="7" t="str">
        <x:v>TU — Uncertainty blank</x:v>
      </x:c>
      <x:c r="H1" s="7" t="str">
        <x:v>TU — Uncertainty blank</x:v>
      </x:c>
    </x:row>
    <x:row r="2">
      <x:c r="A2" s="7" t="str">
        <x:v>TU — Uncertainty blank</x:v>
      </x:c>
      <x:c r="B2" s="7" t="str">
        <x:v>TU — Uncertainty blank</x:v>
      </x:c>
      <x:c r="C2" s="7" t="str">
        <x:v>TU — Uncertainty blank</x:v>
      </x:c>
      <x:c r="D2" s="7" t="str">
        <x:v>TU — Uncertainty blank</x:v>
      </x:c>
      <x:c r="E2" s="7" t="str">
        <x:v>TU — Uncertainty blank</x:v>
      </x:c>
      <x:c r="F2" s="7" t="str">
        <x:v>TU — Uncertainty blank</x:v>
      </x:c>
      <x:c r="G2" s="7" t="str">
        <x:v>TU — Uncertainty blank</x:v>
      </x:c>
      <x:c r="H2" s="7" t="str">
        <x:v>TU — Uncertainty blank</x:v>
      </x:c>
    </x:row>
    <x:row r="3">
      <x:c r="A3" s="8" t="str">
        <x:v>A plate side L is measured with a flexometer that may be misaligned by angle theta. Model: L = Lm / (1 - theta^2/2). Work in base SI units: metres and radians. Fill the yellow budget/result cells.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3"/>
      <x:c r="B5" s="3"/>
      <x:c r="C5" s="3"/>
      <x:c r="D5" s="3"/>
      <x:c r="E5" s="3"/>
      <x:c r="F5" s="3"/>
      <x:c r="G5" s="3"/>
      <x:c r="H5" s="3"/>
    </x:row>
    <x:row r="6">
      <x:c r="A6" s="12" t="str">
        <x:v>Preloaded model/input cells</x:v>
      </x:c>
      <x:c r="B6" s="12" t="str">
        <x:v>Preloaded model/input cells</x:v>
      </x:c>
      <x:c r="C6" s="3"/>
      <x:c r="D6" s="3"/>
      <x:c r="E6" s="3"/>
      <x:c r="F6" s="3"/>
      <x:c r="G6" s="3"/>
      <x:c r="H6" s="3"/>
    </x:row>
    <x:row r="7">
      <x:c r="A7" s="29" t="str">
        <x:v>Measured length Lm [m] =</x:v>
      </x:c>
      <x:c r="B7" s="38" t="n">
        <x:v>0.1</x:v>
      </x:c>
      <x:c r="C7" s="3"/>
      <x:c r="D7" s="3"/>
      <x:c r="E7" s="3"/>
      <x:c r="F7" s="3"/>
      <x:c r="G7" s="3"/>
      <x:c r="H7" s="3"/>
    </x:row>
    <x:row r="8">
      <x:c r="A8" s="29" t="str">
        <x:v>Misalignment theta [rad] =</x:v>
      </x:c>
      <x:c r="B8" s="38" t="n">
        <x:f>RADIANS(1.0)</x:f>
        <x:v>0.017453292519943295</x:v>
      </x:c>
      <x:c r="C8" s="3"/>
      <x:c r="D8" s="3"/>
      <x:c r="E8" s="3"/>
      <x:c r="F8" s="3"/>
      <x:c r="G8" s="3"/>
      <x:c r="H8" s="3"/>
    </x:row>
    <x:row r="9">
      <x:c r="A9" s="29" t="str">
        <x:v>theta half-width a_theta [rad] (±0.3 deg) =</x:v>
      </x:c>
      <x:c r="B9" s="38" t="n">
        <x:f>RADIANS(0.3)</x:f>
        <x:v>0.005235987755982988</x:v>
      </x:c>
      <x:c r="C9" s="3"/>
      <x:c r="D9" s="3"/>
      <x:c r="E9" s="3"/>
      <x:c r="F9" s="3"/>
      <x:c r="G9" s="3"/>
      <x:c r="H9" s="3"/>
    </x:row>
    <x:row r="10">
      <x:c r="A10" s="29" t="str">
        <x:v>Sensitivity c_Lm = 1/(1-theta^2/2) =</x:v>
      </x:c>
      <x:c r="B10" s="38" t="n">
        <x:f>1/(1-POWER(B8,2)/2)</x:f>
        <x:v>1.0001523319113703</x:v>
      </x:c>
      <x:c r="C10" s="3"/>
      <x:c r="D10" s="3"/>
      <x:c r="E10" s="3"/>
      <x:c r="F10" s="3"/>
      <x:c r="G10" s="3"/>
      <x:c r="H10" s="3"/>
    </x:row>
    <x:row r="11">
      <x:c r="A11" s="29" t="str">
        <x:v>Mean output L = Lm/(1-theta^2/2) [m] =</x:v>
      </x:c>
      <x:c r="B11" s="38" t="n">
        <x:f>B7/(1-POWER(B8,2)/2)</x:f>
        <x:v>0.10001523319113703</x:v>
      </x:c>
      <x:c r="C11" s="3"/>
      <x:c r="D11" s="3"/>
      <x:c r="E11" s="3"/>
      <x:c r="F11" s="3"/>
      <x:c r="G11" s="3"/>
      <x:c r="H11" s="3"/>
    </x:row>
    <x:row r="12">
      <x:c r="A12" s="29" t="str">
        <x:v>Sensitivity c_theta = Lm*theta/(1-theta^2/2)^2 =</x:v>
      </x:c>
      <x:c r="B12" s="38" t="n">
        <x:f>B7*B8/POWER(1-POWER(B8,2)/2,2)</x:f>
        <x:v>0.0017458610311765679</x:v>
      </x:c>
      <x:c r="C12" s="3"/>
      <x:c r="D12" s="3"/>
      <x:c r="E12" s="3"/>
      <x:c r="F12" s="3"/>
      <x:c r="G12" s="3"/>
      <x:c r="H12" s="3"/>
    </x:row>
    <x:row r="13">
      <x:c r="A13" s="3"/>
      <x:c r="B13" s="3"/>
      <x:c r="C13" s="3"/>
      <x:c r="D13" s="3"/>
      <x:c r="E13" s="3"/>
      <x:c r="F13" s="3"/>
      <x:c r="G13" s="3"/>
      <x:c r="H13" s="3"/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12" t="str">
        <x:v>Uncertainty budget</x:v>
      </x:c>
      <x:c r="B15" s="12" t="str">
        <x:v>Uncertainty budget</x:v>
      </x:c>
      <x:c r="C15" s="12" t="str">
        <x:v>Uncertainty budget</x:v>
      </x:c>
      <x:c r="D15" s="12" t="str">
        <x:v>Uncertainty budget</x:v>
      </x:c>
      <x:c r="E15" s="12" t="str">
        <x:v>Uncertainty budget</x:v>
      </x:c>
      <x:c r="F15" s="12" t="str">
        <x:v>Uncertainty budget</x:v>
      </x:c>
      <x:c r="G15" s="12" t="str">
        <x:v>Uncertainty budget</x:v>
      </x:c>
      <x:c r="H15" s="3"/>
    </x:row>
    <x:row r="16">
      <x:c r="A16" s="26" t="str">
        <x:v>Contribution</x:v>
      </x:c>
      <x:c r="B16" s="26" t="str">
        <x:v>type</x:v>
      </x:c>
      <x:c r="C16" s="26" t="str">
        <x:v>s_j (or a/sqrt(k))</x:v>
      </x:c>
      <x:c r="D16" s="26" t="str">
        <x:v>u^2(x_j)</x:v>
      </x:c>
      <x:c r="E16" s="26" t="str">
        <x:v>c_j</x:v>
      </x:c>
      <x:c r="F16" s="26" t="str">
        <x:v>u_j^2(y)</x:v>
      </x:c>
      <x:c r="G16" s="26" t="str">
        <x:v>nu_j</x:v>
      </x:c>
      <x:c r="H16" s="3"/>
    </x:row>
    <x:row r="17">
      <x:c r="A17" s="29" t="str">
        <x:v>Bias of Lm (B): a=2%*Lm, sqrt(12)</x:v>
      </x:c>
      <x:c r="B17" s="29" t="str">
        <x:v>Type B</x:v>
      </x:c>
      <x:c r="C17" s="43" t="str"/>
      <x:c r="D17" s="43" t="str"/>
      <x:c r="E17" s="43" t="str"/>
      <x:c r="F17" s="43" t="str"/>
      <x:c r="G17" s="38" t="n">
        <x:v>30</x:v>
      </x:c>
      <x:c r="H17" s="3"/>
    </x:row>
    <x:row r="18">
      <x:c r="A18" s="29" t="str">
        <x:v>Resolution of Lm (B): 1 mm, sqrt(12)</x:v>
      </x:c>
      <x:c r="B18" s="29" t="str">
        <x:v>Type B</x:v>
      </x:c>
      <x:c r="C18" s="43" t="str"/>
      <x:c r="D18" s="43" t="str"/>
      <x:c r="E18" s="43" t="str"/>
      <x:c r="F18" s="43" t="str"/>
      <x:c r="G18" s="38" t="n">
        <x:v>100</x:v>
      </x:c>
      <x:c r="H18" s="3"/>
    </x:row>
    <x:row r="19">
      <x:c r="A19" s="29" t="str">
        <x:v>Reproducibility of Lm (A): s=2.2 mm</x:v>
      </x:c>
      <x:c r="B19" s="29" t="str">
        <x:v>Type A</x:v>
      </x:c>
      <x:c r="C19" s="43" t="str"/>
      <x:c r="D19" s="43" t="str"/>
      <x:c r="E19" s="43" t="str"/>
      <x:c r="F19" s="43" t="str"/>
      <x:c r="G19" s="38" t="n">
        <x:v>16</x:v>
      </x:c>
      <x:c r="H19" s="3"/>
    </x:row>
    <x:row r="20">
      <x:c r="A20" s="29" t="str">
        <x:v>Bias of theta (B): ±0.3 deg, sqrt(2)</x:v>
      </x:c>
      <x:c r="B20" s="29" t="str">
        <x:v>Type B</x:v>
      </x:c>
      <x:c r="C20" s="43" t="str"/>
      <x:c r="D20" s="43" t="str"/>
      <x:c r="E20" s="43" t="str"/>
      <x:c r="F20" s="43" t="str"/>
      <x:c r="G20" s="38" t="n">
        <x:v>30</x:v>
      </x:c>
      <x:c r="H20" s="3"/>
    </x:row>
    <x:row r="21">
      <x:c r="A21" s="3"/>
      <x:c r="B21" s="3"/>
      <x:c r="C21" s="3"/>
      <x:c r="D21" s="3"/>
      <x:c r="E21" s="3"/>
      <x:c r="F21" s="3"/>
      <x:c r="G21" s="3"/>
      <x:c r="H21" s="3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>
      <x:c r="A23" s="12" t="str">
        <x:v>Final results</x:v>
      </x:c>
      <x:c r="B23" s="12" t="str">
        <x:v>Final results</x:v>
      </x:c>
      <x:c r="C23" s="3"/>
      <x:c r="D23" s="3"/>
      <x:c r="E23" s="3"/>
      <x:c r="F23" s="3"/>
      <x:c r="G23" s="3"/>
      <x:c r="H23" s="3"/>
    </x:row>
    <x:row r="24">
      <x:c r="A24" s="29" t="str">
        <x:v>Combined variance u^2(y) =</x:v>
      </x:c>
      <x:c r="B24" s="43" t="str"/>
      <x:c r="C24" s="3"/>
      <x:c r="D24" s="3"/>
      <x:c r="E24" s="3"/>
      <x:c r="F24" s="3"/>
      <x:c r="G24" s="3"/>
      <x:c r="H24" s="3"/>
    </x:row>
    <x:row r="25">
      <x:c r="A25" s="29" t="str">
        <x:v>Standard uncertainty u(y) [m] =</x:v>
      </x:c>
      <x:c r="B25" s="43" t="str"/>
      <x:c r="C25" s="3"/>
      <x:c r="D25" s="3"/>
      <x:c r="E25" s="3"/>
      <x:c r="F25" s="3"/>
      <x:c r="G25" s="3"/>
      <x:c r="H25" s="3"/>
    </x:row>
    <x:row r="26">
      <x:c r="A26" s="29" t="str">
        <x:v>Effective dof nu_y (Welch-Satterthwaite, floored) =</x:v>
      </x:c>
      <x:c r="B26" s="43" t="str"/>
      <x:c r="C26" s="3"/>
      <x:c r="D26" s="3"/>
      <x:c r="E26" s="3"/>
      <x:c r="F26" s="3"/>
      <x:c r="G26" s="3"/>
      <x:c r="H26" s="3"/>
    </x:row>
    <x:row r="27">
      <x:c r="A27" s="29" t="str">
        <x:v>Coverage factor k = T.INV(0.99; nu_y) =</x:v>
      </x:c>
      <x:c r="B27" s="43" t="str"/>
      <x:c r="C27" s="3"/>
      <x:c r="D27" s="3"/>
      <x:c r="E27" s="3"/>
      <x:c r="F27" s="3"/>
      <x:c r="G27" s="3"/>
      <x:c r="H27" s="3"/>
    </x:row>
    <x:row r="28">
      <x:c r="A28" s="29" t="str">
        <x:v>Expanded uncertainty U(y) [m] =</x:v>
      </x:c>
      <x:c r="B28" s="43" t="str"/>
      <x:c r="C28" s="3"/>
      <x:c r="D28" s="3"/>
      <x:c r="E28" s="3"/>
      <x:c r="F28" s="3"/>
      <x:c r="G28" s="3"/>
      <x:c r="H28" s="3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46" t="str">
        <x:v>Exam traps: convert mm to m and degrees to radians; variances add; take SQRT only after summing; use INT/floor for Welch-Satterthwaite; repeatability is not present here because reproducibility already covers it.</x:v>
      </x:c>
      <x:c r="B31" s="47" t="str">
        <x:v>Exam traps: convert mm to m and degrees to radians; variances add; take SQRT only after summing; use INT/floor for Welch-Satterthwaite; repeatability is not present here because reproducibility already covers it.</x:v>
      </x:c>
      <x:c r="C31" s="47" t="str">
        <x:v>Exam traps: convert mm to m and degrees to radians; variances add; take SQRT only after summing; use INT/floor for Welch-Satterthwaite; repeatability is not present here because reproducibility already covers it.</x:v>
      </x:c>
      <x:c r="D31" s="47" t="str">
        <x:v>Exam traps: convert mm to m and degrees to radians; variances add; take SQRT only after summing; use INT/floor for Welch-Satterthwaite; repeatability is not present here because reproducibility already covers it.</x:v>
      </x:c>
      <x:c r="E31" s="47" t="str">
        <x:v>Exam traps: convert mm to m and degrees to radians; variances add; take SQRT only after summing; use INT/floor for Welch-Satterthwaite; repeatability is not present here because reproducibility already covers it.</x:v>
      </x:c>
      <x:c r="F31" s="47" t="str">
        <x:v>Exam traps: convert mm to m and degrees to radians; variances add; take SQRT only after summing; use INT/floor for Welch-Satterthwaite; repeatability is not present here because reproducibility already covers it.</x:v>
      </x:c>
      <x:c r="G31" s="47" t="str">
        <x:v>Exam traps: convert mm to m and degrees to radians; variances add; take SQRT only after summing; use INT/floor for Welch-Satterthwaite; repeatability is not present here because reproducibility already covers it.</x:v>
      </x:c>
      <x:c r="H31" s="48" t="str">
        <x:v>Exam traps: convert mm to m and degrees to radians; variances add; take SQRT only after summing; use INT/floor for Welch-Satterthwaite; repeatability is not present here because reproducibility already covers it.</x:v>
      </x:c>
    </x:row>
    <x:row r="32">
      <x:c r="A32" s="49" t="str">
        <x:v>Exam traps: convert mm to m and degrees to radians; variances add; take SQRT only after summing; use INT/floor for Welch-Satterthwaite; repeatability is not present here because reproducibility already covers it.</x:v>
      </x:c>
      <x:c r="B32" s="45" t="str">
        <x:v>Exam traps: convert mm to m and degrees to radians; variances add; take SQRT only after summing; use INT/floor for Welch-Satterthwaite; repeatability is not present here because reproducibility already covers it.</x:v>
      </x:c>
      <x:c r="C32" s="45" t="str">
        <x:v>Exam traps: convert mm to m and degrees to radians; variances add; take SQRT only after summing; use INT/floor for Welch-Satterthwaite; repeatability is not present here because reproducibility already covers it.</x:v>
      </x:c>
      <x:c r="D32" s="45" t="str">
        <x:v>Exam traps: convert mm to m and degrees to radians; variances add; take SQRT only after summing; use INT/floor for Welch-Satterthwaite; repeatability is not present here because reproducibility already covers it.</x:v>
      </x:c>
      <x:c r="E32" s="45" t="str">
        <x:v>Exam traps: convert mm to m and degrees to radians; variances add; take SQRT only after summing; use INT/floor for Welch-Satterthwaite; repeatability is not present here because reproducibility already covers it.</x:v>
      </x:c>
      <x:c r="F32" s="45" t="str">
        <x:v>Exam traps: convert mm to m and degrees to radians; variances add; take SQRT only after summing; use INT/floor for Welch-Satterthwaite; repeatability is not present here because reproducibility already covers it.</x:v>
      </x:c>
      <x:c r="G32" s="45" t="str">
        <x:v>Exam traps: convert mm to m and degrees to radians; variances add; take SQRT only after summing; use INT/floor for Welch-Satterthwaite; repeatability is not present here because reproducibility already covers it.</x:v>
      </x:c>
      <x:c r="H32" s="50" t="str">
        <x:v>Exam traps: convert mm to m and degrees to radians; variances add; take SQRT only after summing; use INT/floor for Welch-Satterthwaite; repeatability is not present here because reproducibility already covers it.</x:v>
      </x:c>
    </x:row>
    <x:row r="33">
      <x:c r="A33" s="49" t="str">
        <x:v>Exam traps: convert mm to m and degrees to radians; variances add; take SQRT only after summing; use INT/floor for Welch-Satterthwaite; repeatability is not present here because reproducibility already covers it.</x:v>
      </x:c>
      <x:c r="B33" s="45" t="str">
        <x:v>Exam traps: convert mm to m and degrees to radians; variances add; take SQRT only after summing; use INT/floor for Welch-Satterthwaite; repeatability is not present here because reproducibility already covers it.</x:v>
      </x:c>
      <x:c r="C33" s="45" t="str">
        <x:v>Exam traps: convert mm to m and degrees to radians; variances add; take SQRT only after summing; use INT/floor for Welch-Satterthwaite; repeatability is not present here because reproducibility already covers it.</x:v>
      </x:c>
      <x:c r="D33" s="45" t="str">
        <x:v>Exam traps: convert mm to m and degrees to radians; variances add; take SQRT only after summing; use INT/floor for Welch-Satterthwaite; repeatability is not present here because reproducibility already covers it.</x:v>
      </x:c>
      <x:c r="E33" s="45" t="str">
        <x:v>Exam traps: convert mm to m and degrees to radians; variances add; take SQRT only after summing; use INT/floor for Welch-Satterthwaite; repeatability is not present here because reproducibility already covers it.</x:v>
      </x:c>
      <x:c r="F33" s="45" t="str">
        <x:v>Exam traps: convert mm to m and degrees to radians; variances add; take SQRT only after summing; use INT/floor for Welch-Satterthwaite; repeatability is not present here because reproducibility already covers it.</x:v>
      </x:c>
      <x:c r="G33" s="45" t="str">
        <x:v>Exam traps: convert mm to m and degrees to radians; variances add; take SQRT only after summing; use INT/floor for Welch-Satterthwaite; repeatability is not present here because reproducibility already covers it.</x:v>
      </x:c>
      <x:c r="H33" s="50" t="str">
        <x:v>Exam traps: convert mm to m and degrees to radians; variances add; take SQRT only after summing; use INT/floor for Welch-Satterthwaite; repeatability is not present here because reproducibility already covers it.</x:v>
      </x:c>
    </x:row>
    <x:row r="34">
      <x:c r="A34" s="49" t="str">
        <x:v>Exam traps: convert mm to m and degrees to radians; variances add; take SQRT only after summing; use INT/floor for Welch-Satterthwaite; repeatability is not present here because reproducibility already covers it.</x:v>
      </x:c>
      <x:c r="B34" s="45" t="str">
        <x:v>Exam traps: convert mm to m and degrees to radians; variances add; take SQRT only after summing; use INT/floor for Welch-Satterthwaite; repeatability is not present here because reproducibility already covers it.</x:v>
      </x:c>
      <x:c r="C34" s="45" t="str">
        <x:v>Exam traps: convert mm to m and degrees to radians; variances add; take SQRT only after summing; use INT/floor for Welch-Satterthwaite; repeatability is not present here because reproducibility already covers it.</x:v>
      </x:c>
      <x:c r="D34" s="45" t="str">
        <x:v>Exam traps: convert mm to m and degrees to radians; variances add; take SQRT only after summing; use INT/floor for Welch-Satterthwaite; repeatability is not present here because reproducibility already covers it.</x:v>
      </x:c>
      <x:c r="E34" s="45" t="str">
        <x:v>Exam traps: convert mm to m and degrees to radians; variances add; take SQRT only after summing; use INT/floor for Welch-Satterthwaite; repeatability is not present here because reproducibility already covers it.</x:v>
      </x:c>
      <x:c r="F34" s="45" t="str">
        <x:v>Exam traps: convert mm to m and degrees to radians; variances add; take SQRT only after summing; use INT/floor for Welch-Satterthwaite; repeatability is not present here because reproducibility already covers it.</x:v>
      </x:c>
      <x:c r="G34" s="45" t="str">
        <x:v>Exam traps: convert mm to m and degrees to radians; variances add; take SQRT only after summing; use INT/floor for Welch-Satterthwaite; repeatability is not present here because reproducibility already covers it.</x:v>
      </x:c>
      <x:c r="H34" s="50" t="str">
        <x:v>Exam traps: convert mm to m and degrees to radians; variances add; take SQRT only after summing; use INT/floor for Welch-Satterthwaite; repeatability is not present here because reproducibility already covers it.</x:v>
      </x:c>
    </x:row>
    <x:row r="35">
      <x:c r="A35" s="51" t="str">
        <x:v>Exam traps: convert mm to m and degrees to radians; variances add; take SQRT only after summing; use INT/floor for Welch-Satterthwaite; repeatability is not present here because reproducibility already covers it.</x:v>
      </x:c>
      <x:c r="B35" s="52" t="str">
        <x:v>Exam traps: convert mm to m and degrees to radians; variances add; take SQRT only after summing; use INT/floor for Welch-Satterthwaite; repeatability is not present here because reproducibility already covers it.</x:v>
      </x:c>
      <x:c r="C35" s="52" t="str">
        <x:v>Exam traps: convert mm to m and degrees to radians; variances add; take SQRT only after summing; use INT/floor for Welch-Satterthwaite; repeatability is not present here because reproducibility already covers it.</x:v>
      </x:c>
      <x:c r="D35" s="52" t="str">
        <x:v>Exam traps: convert mm to m and degrees to radians; variances add; take SQRT only after summing; use INT/floor for Welch-Satterthwaite; repeatability is not present here because reproducibility already covers it.</x:v>
      </x:c>
      <x:c r="E35" s="52" t="str">
        <x:v>Exam traps: convert mm to m and degrees to radians; variances add; take SQRT only after summing; use INT/floor for Welch-Satterthwaite; repeatability is not present here because reproducibility already covers it.</x:v>
      </x:c>
      <x:c r="F35" s="52" t="str">
        <x:v>Exam traps: convert mm to m and degrees to radians; variances add; take SQRT only after summing; use INT/floor for Welch-Satterthwaite; repeatability is not present here because reproducibility already covers it.</x:v>
      </x:c>
      <x:c r="G35" s="52" t="str">
        <x:v>Exam traps: convert mm to m and degrees to radians; variances add; take SQRT only after summing; use INT/floor for Welch-Satterthwaite; repeatability is not present here because reproducibility already covers it.</x:v>
      </x:c>
      <x:c r="H35" s="53" t="str">
        <x:v>Exam traps: convert mm to m and degrees to radians; variances add; take SQRT only after summing; use INT/floor for Welch-Satterthwaite; repeatability is not present here because reproducibility already covers it.</x:v>
      </x:c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  <x:row r="49">
      <x:c r="A49" s="3"/>
      <x:c r="B49" s="3"/>
      <x:c r="C49" s="3"/>
      <x:c r="D49" s="3"/>
      <x:c r="E49" s="3"/>
      <x:c r="F49" s="3"/>
      <x:c r="G49" s="3"/>
      <x:c r="H49" s="3"/>
    </x:row>
    <x:row r="50">
      <x:c r="A50" s="3"/>
      <x:c r="B50" s="3"/>
      <x:c r="C50" s="3"/>
      <x:c r="D50" s="3"/>
      <x:c r="E50" s="3"/>
      <x:c r="F50" s="3"/>
      <x:c r="G50" s="3"/>
      <x:c r="H50" s="3"/>
    </x:row>
    <x:row r="51">
      <x:c r="A51" s="3"/>
      <x:c r="B51" s="3"/>
      <x:c r="C51" s="3"/>
      <x:c r="D51" s="3"/>
      <x:c r="E51" s="3"/>
      <x:c r="F51" s="3"/>
      <x:c r="G51" s="3"/>
      <x:c r="H51" s="3"/>
    </x:row>
    <x:row r="52">
      <x:c r="A52" s="3"/>
      <x:c r="B52" s="3"/>
      <x:c r="C52" s="3"/>
      <x:c r="D52" s="3"/>
      <x:c r="E52" s="3"/>
      <x:c r="F52" s="3"/>
      <x:c r="G52" s="3"/>
      <x:c r="H52" s="3"/>
    </x:row>
    <x:row r="53">
      <x:c r="A53" s="3"/>
      <x:c r="B53" s="3"/>
      <x:c r="C53" s="3"/>
      <x:c r="D53" s="3"/>
      <x:c r="E53" s="3"/>
      <x:c r="F53" s="3"/>
      <x:c r="G53" s="3"/>
      <x:c r="H53" s="3"/>
    </x:row>
    <x:row r="54">
      <x:c r="A54" s="3"/>
      <x:c r="B54" s="3"/>
      <x:c r="C54" s="3"/>
      <x:c r="D54" s="3"/>
      <x:c r="E54" s="3"/>
      <x:c r="F54" s="3"/>
      <x:c r="G54" s="3"/>
      <x:c r="H54" s="3"/>
    </x:row>
    <x:row r="55">
      <x:c r="A55" s="3"/>
      <x:c r="B55" s="3"/>
      <x:c r="C55" s="3"/>
      <x:c r="D55" s="3"/>
      <x:c r="E55" s="3"/>
      <x:c r="F55" s="3"/>
      <x:c r="G55" s="3"/>
      <x:c r="H55" s="3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>
      <x:c r="A57" s="3"/>
      <x:c r="B57" s="3"/>
      <x:c r="C57" s="3"/>
      <x:c r="D57" s="3"/>
      <x:c r="E57" s="3"/>
      <x:c r="F57" s="3"/>
      <x:c r="G57" s="3"/>
      <x:c r="H57" s="3"/>
    </x:row>
    <x:row r="58">
      <x:c r="A58" s="3"/>
      <x:c r="B58" s="3"/>
      <x:c r="C58" s="3"/>
      <x:c r="D58" s="3"/>
      <x:c r="E58" s="3"/>
      <x:c r="F58" s="3"/>
      <x:c r="G58" s="3"/>
      <x:c r="H58" s="3"/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  <x:row r="61">
      <x:c r="A61" s="3"/>
      <x:c r="B61" s="3"/>
      <x:c r="C61" s="3"/>
      <x:c r="D61" s="3"/>
      <x:c r="E61" s="3"/>
      <x:c r="F61" s="3"/>
      <x:c r="G61" s="3"/>
      <x:c r="H61" s="3"/>
    </x:row>
    <x:row r="62">
      <x:c r="A62" s="3"/>
      <x:c r="B62" s="3"/>
      <x:c r="C62" s="3"/>
      <x:c r="D62" s="3"/>
      <x:c r="E62" s="3"/>
      <x:c r="F62" s="3"/>
      <x:c r="G62" s="3"/>
      <x:c r="H62" s="3"/>
    </x:row>
    <x:row r="63">
      <x:c r="A63" s="3"/>
      <x:c r="B63" s="3"/>
      <x:c r="C63" s="3"/>
      <x:c r="D63" s="3"/>
      <x:c r="E63" s="3"/>
      <x:c r="F63" s="3"/>
      <x:c r="G63" s="3"/>
      <x:c r="H63" s="3"/>
    </x:row>
    <x:row r="64">
      <x:c r="A64" s="3"/>
      <x:c r="B64" s="3"/>
      <x:c r="C64" s="3"/>
      <x:c r="D64" s="3"/>
      <x:c r="E64" s="3"/>
      <x:c r="F64" s="3"/>
      <x:c r="G64" s="3"/>
      <x:c r="H64" s="3"/>
    </x:row>
    <x:row r="65">
      <x:c r="A65" s="3"/>
      <x:c r="B65" s="3"/>
      <x:c r="C65" s="3"/>
      <x:c r="D65" s="3"/>
      <x:c r="E65" s="3"/>
      <x:c r="F65" s="3"/>
      <x:c r="G65" s="3"/>
      <x:c r="H65" s="3"/>
    </x:row>
    <x:row r="66">
      <x:c r="A66" s="3"/>
      <x:c r="B66" s="3"/>
      <x:c r="C66" s="3"/>
      <x:c r="D66" s="3"/>
      <x:c r="E66" s="3"/>
      <x:c r="F66" s="3"/>
      <x:c r="G66" s="3"/>
      <x:c r="H66" s="3"/>
    </x:row>
    <x:row r="67">
      <x:c r="A67" s="3"/>
      <x:c r="B67" s="3"/>
      <x:c r="C67" s="3"/>
      <x:c r="D67" s="3"/>
      <x:c r="E67" s="3"/>
      <x:c r="F67" s="3"/>
      <x:c r="G67" s="3"/>
      <x:c r="H67" s="3"/>
    </x:row>
    <x:row r="68">
      <x:c r="A68" s="3"/>
      <x:c r="B68" s="3"/>
      <x:c r="C68" s="3"/>
      <x:c r="D68" s="3"/>
      <x:c r="E68" s="3"/>
      <x:c r="F68" s="3"/>
      <x:c r="G68" s="3"/>
      <x:c r="H68" s="3"/>
    </x:row>
    <x:row r="69">
      <x:c r="A69" s="3"/>
      <x:c r="B69" s="3"/>
      <x:c r="C69" s="3"/>
      <x:c r="D69" s="3"/>
      <x:c r="E69" s="3"/>
      <x:c r="F69" s="3"/>
      <x:c r="G69" s="3"/>
      <x:c r="H69" s="3"/>
    </x:row>
    <x:row r="70">
      <x:c r="A70" s="3"/>
      <x:c r="B70" s="3"/>
      <x:c r="C70" s="3"/>
      <x:c r="D70" s="3"/>
      <x:c r="E70" s="3"/>
      <x:c r="F70" s="3"/>
      <x:c r="G70" s="3"/>
      <x:c r="H70" s="3"/>
    </x:row>
    <x:row r="71">
      <x:c r="A71" s="3"/>
      <x:c r="B71" s="3"/>
      <x:c r="C71" s="3"/>
      <x:c r="D71" s="3"/>
      <x:c r="E71" s="3"/>
      <x:c r="F71" s="3"/>
      <x:c r="G71" s="3"/>
      <x:c r="H71" s="3"/>
    </x:row>
    <x:row r="72">
      <x:c r="A72" s="3"/>
      <x:c r="B72" s="3"/>
      <x:c r="C72" s="3"/>
      <x:c r="D72" s="3"/>
      <x:c r="E72" s="3"/>
      <x:c r="F72" s="3"/>
      <x:c r="G72" s="3"/>
      <x:c r="H72" s="3"/>
    </x:row>
    <x:row r="73">
      <x:c r="A73" s="3"/>
      <x:c r="B73" s="3"/>
      <x:c r="C73" s="3"/>
      <x:c r="D73" s="3"/>
      <x:c r="E73" s="3"/>
      <x:c r="F73" s="3"/>
      <x:c r="G73" s="3"/>
      <x:c r="H73" s="3"/>
    </x:row>
    <x:row r="74">
      <x:c r="A74" s="3"/>
      <x:c r="B74" s="3"/>
      <x:c r="C74" s="3"/>
      <x:c r="D74" s="3"/>
      <x:c r="E74" s="3"/>
      <x:c r="F74" s="3"/>
      <x:c r="G74" s="3"/>
      <x:c r="H74" s="3"/>
    </x:row>
    <x:row r="75">
      <x:c r="A75" s="3"/>
      <x:c r="B75" s="3"/>
      <x:c r="C75" s="3"/>
      <x:c r="D75" s="3"/>
      <x:c r="E75" s="3"/>
      <x:c r="F75" s="3"/>
      <x:c r="G75" s="3"/>
      <x:c r="H75" s="3"/>
    </x:row>
    <x:row r="76">
      <x:c r="A76" s="3"/>
      <x:c r="B76" s="3"/>
      <x:c r="C76" s="3"/>
      <x:c r="D76" s="3"/>
      <x:c r="E76" s="3"/>
      <x:c r="F76" s="3"/>
      <x:c r="G76" s="3"/>
      <x:c r="H76" s="3"/>
    </x:row>
    <x:row r="77">
      <x:c r="A77" s="3"/>
      <x:c r="B77" s="3"/>
      <x:c r="C77" s="3"/>
      <x:c r="D77" s="3"/>
      <x:c r="E77" s="3"/>
      <x:c r="F77" s="3"/>
      <x:c r="G77" s="3"/>
      <x:c r="H77" s="3"/>
    </x:row>
    <x:row r="78">
      <x:c r="A78" s="3"/>
      <x:c r="B78" s="3"/>
      <x:c r="C78" s="3"/>
      <x:c r="D78" s="3"/>
      <x:c r="E78" s="3"/>
      <x:c r="F78" s="3"/>
      <x:c r="G78" s="3"/>
      <x:c r="H78" s="3"/>
    </x:row>
    <x:row r="79">
      <x:c r="A79" s="3"/>
      <x:c r="B79" s="3"/>
      <x:c r="C79" s="3"/>
      <x:c r="D79" s="3"/>
      <x:c r="E79" s="3"/>
      <x:c r="F79" s="3"/>
      <x:c r="G79" s="3"/>
      <x:c r="H79" s="3"/>
    </x:row>
    <x:row r="80">
      <x:c r="A80" s="3"/>
      <x:c r="B80" s="3"/>
      <x:c r="C80" s="3"/>
      <x:c r="D80" s="3"/>
      <x:c r="E80" s="3"/>
      <x:c r="F80" s="3"/>
      <x:c r="G80" s="3"/>
      <x:c r="H80" s="3"/>
    </x:row>
  </x:sheetData>
  <x:mergeCells>
    <x:mergeCell ref="A1:H2"/>
    <x:mergeCell ref="A3:H4"/>
    <x:mergeCell ref="A6:B6"/>
    <x:mergeCell ref="A15:G15"/>
    <x:mergeCell ref="A23:B23"/>
    <x:mergeCell ref="A31:H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7" t="str">
        <x:v>PS — Probability &amp; Statistics blank</x:v>
      </x:c>
      <x:c r="B1" s="7" t="str">
        <x:v>PS — Probability &amp; Statistics blank</x:v>
      </x:c>
      <x:c r="C1" s="7" t="str">
        <x:v>PS — Probability &amp; Statistics blank</x:v>
      </x:c>
      <x:c r="D1" s="7" t="str">
        <x:v>PS — Probability &amp; Statistics blank</x:v>
      </x:c>
      <x:c r="E1" s="7" t="str">
        <x:v>PS — Probability &amp; Statistics blank</x:v>
      </x:c>
      <x:c r="F1" s="7" t="str">
        <x:v>PS — Probability &amp; Statistics blank</x:v>
      </x:c>
    </x:row>
    <x:row r="2">
      <x:c r="A2" s="7" t="str">
        <x:v>PS — Probability &amp; Statistics blank</x:v>
      </x:c>
      <x:c r="B2" s="7" t="str">
        <x:v>PS — Probability &amp; Statistics blank</x:v>
      </x:c>
      <x:c r="C2" s="7" t="str">
        <x:v>PS — Probability &amp; Statistics blank</x:v>
      </x:c>
      <x:c r="D2" s="7" t="str">
        <x:v>PS — Probability &amp; Statistics blank</x:v>
      </x:c>
      <x:c r="E2" s="7" t="str">
        <x:v>PS — Probability &amp; Statistics blank</x:v>
      </x:c>
      <x:c r="F2" s="7" t="str">
        <x:v>PS — Probability &amp; Statistics blank</x:v>
      </x:c>
    </x:row>
    <x:row r="3">
      <x:c r="A3" s="8" t="str">
        <x:v>A finite batch of strain gauges is tested with a two-phase acceptance plan. Sampling is without replacement, so use the hypergeometric distribution. Fill the yellow cells in column B.</x:v>
      </x:c>
      <x:c r="B3" s="8"/>
      <x:c r="C3" s="8"/>
      <x:c r="D3" s="8"/>
      <x:c r="E3" s="8"/>
      <x:c r="F3" s="8"/>
      <x:c r="G3" s="33"/>
      <x:c r="H3" s="33"/>
    </x:row>
    <x:row r="4">
      <x:c r="A4" s="8"/>
      <x:c r="B4" s="8"/>
      <x:c r="C4" s="8"/>
      <x:c r="D4" s="8"/>
      <x:c r="E4" s="8"/>
      <x:c r="F4" s="8"/>
      <x:c r="G4" s="33"/>
      <x:c r="H4" s="33"/>
    </x:row>
    <x:row r="5">
      <x:c r="A5" s="3"/>
      <x:c r="B5" s="3"/>
      <x:c r="C5" s="3"/>
      <x:c r="D5" s="3"/>
      <x:c r="E5" s="3"/>
      <x:c r="F5" s="3"/>
    </x:row>
    <x:row r="6">
      <x:c r="A6" s="12" t="str">
        <x:v>Inputs</x:v>
      </x:c>
      <x:c r="B6" s="12" t="str">
        <x:v>Inputs</x:v>
      </x:c>
      <x:c r="C6" s="3"/>
      <x:c r="D6" s="3"/>
      <x:c r="E6" s="3"/>
      <x:c r="F6" s="3"/>
    </x:row>
    <x:row r="7">
      <x:c r="A7" s="29" t="str">
        <x:v>Batch size N_L =</x:v>
      </x:c>
      <x:c r="B7" s="38" t="n">
        <x:v>111</x:v>
      </x:c>
      <x:c r="C7" s="3"/>
      <x:c r="D7" s="3"/>
      <x:c r="E7" s="3"/>
      <x:c r="F7" s="3"/>
    </x:row>
    <x:row r="8">
      <x:c r="A8" s="29" t="str">
        <x:v>Phase-A sample N_a =</x:v>
      </x:c>
      <x:c r="B8" s="38" t="n">
        <x:v>18</x:v>
      </x:c>
      <x:c r="C8" s="3"/>
      <x:c r="D8" s="3"/>
      <x:c r="E8" s="3"/>
      <x:c r="F8" s="3"/>
    </x:row>
    <x:row r="9">
      <x:c r="A9" s="29" t="str">
        <x:v>Phase-A accept threshold n_1 =</x:v>
      </x:c>
      <x:c r="B9" s="38" t="n">
        <x:v>1</x:v>
      </x:c>
      <x:c r="C9" s="3"/>
      <x:c r="D9" s="3"/>
      <x:c r="E9" s="3"/>
      <x:c r="F9" s="3"/>
    </x:row>
    <x:row r="10">
      <x:c r="A10" s="29" t="str">
        <x:v>Phase-B sample N_b =</x:v>
      </x:c>
      <x:c r="B10" s="38" t="n">
        <x:v>6</x:v>
      </x:c>
      <x:c r="C10" s="3"/>
      <x:c r="D10" s="3"/>
      <x:c r="E10" s="3"/>
      <x:c r="F10" s="3"/>
    </x:row>
    <x:row r="11">
      <x:c r="A11" s="29" t="str">
        <x:v>Phase-B trigger upper n_2 =</x:v>
      </x:c>
      <x:c r="B11" s="38" t="n">
        <x:v>3</x:v>
      </x:c>
      <x:c r="C11" s="3"/>
      <x:c r="D11" s="3"/>
      <x:c r="E11" s="3"/>
      <x:c r="F11" s="3"/>
    </x:row>
    <x:row r="12">
      <x:c r="A12" s="29" t="str">
        <x:v>Out-of-tolerance in batch N =</x:v>
      </x:c>
      <x:c r="B12" s="38" t="n">
        <x:v>8</x:v>
      </x:c>
      <x:c r="C12" s="3"/>
      <x:c r="D12" s="3"/>
      <x:c r="E12" s="3"/>
      <x:c r="F12" s="3"/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>
      <x:c r="A15" s="12" t="str">
        <x:v>Questions</x:v>
      </x:c>
      <x:c r="B15" s="12" t="str">
        <x:v>Questions</x:v>
      </x:c>
      <x:c r="C15" s="3"/>
      <x:c r="D15" s="3"/>
      <x:c r="E15" s="3"/>
      <x:c r="F15" s="3"/>
    </x:row>
    <x:row r="16">
      <x:c r="A16" s="29" t="str">
        <x:v>P(accept in phase A) P(X&lt;=1) =</x:v>
      </x:c>
      <x:c r="B16" s="43" t="str"/>
      <x:c r="C16" s="3"/>
      <x:c r="D16" s="3"/>
      <x:c r="E16" s="3"/>
      <x:c r="F16" s="3"/>
    </x:row>
    <x:row r="17">
      <x:c r="A17" s="29" t="str">
        <x:v>P(exactly 2 out of tolerance in A) P(X=2) =</x:v>
      </x:c>
      <x:c r="B17" s="43" t="str"/>
      <x:c r="C17" s="3"/>
      <x:c r="D17" s="3"/>
      <x:c r="E17" s="3"/>
      <x:c r="F17" s="3"/>
    </x:row>
    <x:row r="18">
      <x:c r="A18" s="29" t="str">
        <x:v>P(exactly 3 out of tolerance in A) P(X=3) =</x:v>
      </x:c>
      <x:c r="B18" s="43" t="str"/>
      <x:c r="C18" s="3"/>
      <x:c r="D18" s="3"/>
      <x:c r="E18" s="3"/>
      <x:c r="F18" s="3"/>
    </x:row>
    <x:row r="19">
      <x:c r="A19" s="29" t="str">
        <x:v>P(perform phase B) P(2&lt;=X&lt;=3) =</x:v>
      </x:c>
      <x:c r="B19" s="43" t="str"/>
      <x:c r="C19" s="3"/>
      <x:c r="D19" s="3"/>
      <x:c r="E19" s="3"/>
      <x:c r="F19" s="3"/>
    </x:row>
    <x:row r="20">
      <x:c r="A20" s="29" t="str">
        <x:v>Remaining batch after A N_L-N_a =</x:v>
      </x:c>
      <x:c r="B20" s="43" t="str"/>
      <x:c r="C20" s="3"/>
      <x:c r="D20" s="3"/>
      <x:c r="E20" s="3"/>
      <x:c r="F20" s="3"/>
    </x:row>
    <x:row r="21">
      <x:c r="A21" s="29" t="str">
        <x:v>P(accept via B | 2 found in A) =</x:v>
      </x:c>
      <x:c r="B21" s="43" t="str"/>
      <x:c r="C21" s="3"/>
      <x:c r="D21" s="3"/>
      <x:c r="E21" s="3"/>
      <x:c r="F21" s="3"/>
    </x:row>
    <x:row r="22">
      <x:c r="A22" s="29" t="str">
        <x:v>P(accept via B | 3 found in A) =</x:v>
      </x:c>
      <x:c r="B22" s="43" t="str"/>
      <x:c r="C22" s="3"/>
      <x:c r="D22" s="3"/>
      <x:c r="E22" s="3"/>
      <x:c r="F22" s="3"/>
    </x:row>
    <x:row r="23">
      <x:c r="A23" s="29" t="str">
        <x:v>P(accept after phase B) =</x:v>
      </x:c>
      <x:c r="B23" s="43" t="str"/>
      <x:c r="C23" s="3"/>
      <x:c r="D23" s="3"/>
      <x:c r="E23" s="3"/>
      <x:c r="F23" s="3"/>
    </x:row>
    <x:row r="24">
      <x:c r="A24" s="29" t="str">
        <x:v>Total acceptance probability =</x:v>
      </x:c>
      <x:c r="B24" s="43" t="str"/>
      <x:c r="C24" s="3"/>
      <x:c r="D24" s="3"/>
      <x:c r="E24" s="3"/>
      <x:c r="F24" s="3"/>
    </x:row>
    <x:row r="25">
      <x:c r="A25" s="3"/>
      <x:c r="B25" s="3"/>
      <x:c r="C25" s="3"/>
      <x:c r="D25" s="3"/>
      <x:c r="E25" s="3"/>
      <x:c r="F25" s="3"/>
    </x:row>
    <x:row r="26">
      <x:c r="A26" s="3"/>
      <x:c r="B26" s="3"/>
      <x:c r="C26" s="3"/>
      <x:c r="D26" s="3"/>
      <x:c r="E26" s="3"/>
      <x:c r="F26" s="3"/>
    </x:row>
    <x:row r="27">
      <x:c r="A27" s="46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B27" s="47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C27" s="47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D27" s="47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E27" s="47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F27" s="48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</x:row>
    <x:row r="28">
      <x:c r="A28" s="49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B28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C28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D28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E28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F28" s="50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</x:row>
    <x:row r="29">
      <x:c r="A29" s="49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B29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C29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D29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E29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F29" s="50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</x:row>
    <x:row r="30">
      <x:c r="A30" s="49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B30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C30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D30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E30" s="45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F30" s="50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</x:row>
    <x:row r="31">
      <x:c r="A31" s="51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B31" s="52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C31" s="52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D31" s="52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E31" s="52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  <x:c r="F31" s="53" t="str">
        <x:v>Use HYPGEOM.DIST(k; sample_size; successes_in_population; population_size; cumulative). For phase B, the population has shrunk by the Phase-A sample size, and the remaining defectives are the original defectives minus the defects already found in A.</x:v>
      </x:c>
    </x:row>
    <x:row r="32">
      <x:c r="A32" s="3"/>
      <x:c r="B32" s="3"/>
      <x:c r="C32" s="3"/>
      <x:c r="D32" s="3"/>
      <x:c r="E32" s="3"/>
      <x:c r="F32" s="3"/>
    </x:row>
    <x:row r="33">
      <x:c r="A33" s="3"/>
      <x:c r="B33" s="3"/>
      <x:c r="C33" s="3"/>
      <x:c r="D33" s="3"/>
      <x:c r="E33" s="3"/>
      <x:c r="F33" s="3"/>
    </x:row>
    <x:row r="34">
      <x:c r="A34" s="3"/>
      <x:c r="B34" s="3"/>
      <x:c r="C34" s="3"/>
      <x:c r="D34" s="3"/>
      <x:c r="E34" s="3"/>
      <x:c r="F34" s="3"/>
    </x:row>
    <x:row r="35">
      <x:c r="A35" s="3"/>
      <x:c r="B35" s="3"/>
      <x:c r="C35" s="3"/>
      <x:c r="D35" s="3"/>
      <x:c r="E35" s="3"/>
      <x:c r="F35" s="3"/>
    </x:row>
    <x:row r="36">
      <x:c r="A36" s="3"/>
      <x:c r="B36" s="3"/>
      <x:c r="C36" s="3"/>
      <x:c r="D36" s="3"/>
      <x:c r="E36" s="3"/>
      <x:c r="F36" s="3"/>
    </x:row>
    <x:row r="37">
      <x:c r="A37" s="3"/>
      <x:c r="B37" s="3"/>
      <x:c r="C37" s="3"/>
      <x:c r="D37" s="3"/>
      <x:c r="E37" s="3"/>
      <x:c r="F37" s="3"/>
    </x:row>
    <x:row r="38">
      <x:c r="A38" s="3"/>
      <x:c r="B38" s="3"/>
      <x:c r="C38" s="3"/>
      <x:c r="D38" s="3"/>
      <x:c r="E38" s="3"/>
      <x:c r="F38" s="3"/>
    </x:row>
    <x:row r="39">
      <x:c r="A39" s="3"/>
      <x:c r="B39" s="3"/>
      <x:c r="C39" s="3"/>
      <x:c r="D39" s="3"/>
      <x:c r="E39" s="3"/>
      <x:c r="F39" s="3"/>
    </x:row>
    <x:row r="40">
      <x:c r="A40" s="3"/>
      <x:c r="B40" s="3"/>
      <x:c r="C40" s="3"/>
      <x:c r="D40" s="3"/>
      <x:c r="E40" s="3"/>
      <x:c r="F40" s="3"/>
    </x:row>
    <x:row r="41">
      <x:c r="A41" s="3"/>
      <x:c r="B41" s="3"/>
      <x:c r="C41" s="3"/>
      <x:c r="D41" s="3"/>
      <x:c r="E41" s="3"/>
      <x:c r="F41" s="3"/>
    </x:row>
    <x:row r="42">
      <x:c r="A42" s="3"/>
      <x:c r="B42" s="3"/>
      <x:c r="C42" s="3"/>
      <x:c r="D42" s="3"/>
      <x:c r="E42" s="3"/>
      <x:c r="F42" s="3"/>
    </x:row>
    <x:row r="43">
      <x:c r="A43" s="3"/>
      <x:c r="B43" s="3"/>
      <x:c r="C43" s="3"/>
      <x:c r="D43" s="3"/>
      <x:c r="E43" s="3"/>
      <x:c r="F43" s="3"/>
    </x:row>
    <x:row r="44">
      <x:c r="A44" s="3"/>
      <x:c r="B44" s="3"/>
      <x:c r="C44" s="3"/>
      <x:c r="D44" s="3"/>
      <x:c r="E44" s="3"/>
      <x:c r="F44" s="3"/>
    </x:row>
    <x:row r="45">
      <x:c r="A45" s="3"/>
      <x:c r="B45" s="3"/>
      <x:c r="C45" s="3"/>
      <x:c r="D45" s="3"/>
      <x:c r="E45" s="3"/>
      <x:c r="F45" s="3"/>
    </x:row>
    <x:row r="46">
      <x:c r="A46" s="3"/>
      <x:c r="B46" s="3"/>
      <x:c r="C46" s="3"/>
      <x:c r="D46" s="3"/>
      <x:c r="E46" s="3"/>
      <x:c r="F46" s="3"/>
    </x:row>
    <x:row r="47">
      <x:c r="A47" s="3"/>
      <x:c r="B47" s="3"/>
      <x:c r="C47" s="3"/>
      <x:c r="D47" s="3"/>
      <x:c r="E47" s="3"/>
      <x:c r="F47" s="3"/>
    </x:row>
    <x:row r="48">
      <x:c r="A48" s="3"/>
      <x:c r="B48" s="3"/>
      <x:c r="C48" s="3"/>
      <x:c r="D48" s="3"/>
      <x:c r="E48" s="3"/>
      <x:c r="F48" s="3"/>
    </x:row>
    <x:row r="49">
      <x:c r="A49" s="3"/>
      <x:c r="B49" s="3"/>
      <x:c r="C49" s="3"/>
      <x:c r="D49" s="3"/>
      <x:c r="E49" s="3"/>
      <x:c r="F49" s="3"/>
    </x:row>
    <x:row r="50">
      <x:c r="A50" s="3"/>
      <x:c r="B50" s="3"/>
      <x:c r="C50" s="3"/>
      <x:c r="D50" s="3"/>
      <x:c r="E50" s="3"/>
      <x:c r="F50" s="3"/>
    </x:row>
    <x:row r="51">
      <x:c r="A51" s="3"/>
      <x:c r="B51" s="3"/>
      <x:c r="C51" s="3"/>
      <x:c r="D51" s="3"/>
      <x:c r="E51" s="3"/>
      <x:c r="F51" s="3"/>
    </x:row>
    <x:row r="52">
      <x:c r="A52" s="3"/>
      <x:c r="B52" s="3"/>
      <x:c r="C52" s="3"/>
      <x:c r="D52" s="3"/>
      <x:c r="E52" s="3"/>
      <x:c r="F52" s="3"/>
    </x:row>
    <x:row r="53">
      <x:c r="A53" s="3"/>
      <x:c r="B53" s="3"/>
      <x:c r="C53" s="3"/>
      <x:c r="D53" s="3"/>
      <x:c r="E53" s="3"/>
      <x:c r="F53" s="3"/>
    </x:row>
    <x:row r="54">
      <x:c r="A54" s="3"/>
      <x:c r="B54" s="3"/>
      <x:c r="C54" s="3"/>
      <x:c r="D54" s="3"/>
      <x:c r="E54" s="3"/>
      <x:c r="F54" s="3"/>
    </x:row>
    <x:row r="55">
      <x:c r="A55" s="3"/>
      <x:c r="B55" s="3"/>
      <x:c r="C55" s="3"/>
      <x:c r="D55" s="3"/>
      <x:c r="E55" s="3"/>
      <x:c r="F55" s="3"/>
    </x:row>
    <x:row r="56">
      <x:c r="A56" s="3"/>
      <x:c r="B56" s="3"/>
      <x:c r="C56" s="3"/>
      <x:c r="D56" s="3"/>
      <x:c r="E56" s="3"/>
      <x:c r="F56" s="3"/>
    </x:row>
    <x:row r="57">
      <x:c r="A57" s="3"/>
      <x:c r="B57" s="3"/>
      <x:c r="C57" s="3"/>
      <x:c r="D57" s="3"/>
      <x:c r="E57" s="3"/>
      <x:c r="F57" s="3"/>
    </x:row>
    <x:row r="58">
      <x:c r="A58" s="3"/>
      <x:c r="B58" s="3"/>
      <x:c r="C58" s="3"/>
      <x:c r="D58" s="3"/>
      <x:c r="E58" s="3"/>
      <x:c r="F58" s="3"/>
    </x:row>
    <x:row r="59">
      <x:c r="A59" s="3"/>
      <x:c r="B59" s="3"/>
      <x:c r="C59" s="3"/>
      <x:c r="D59" s="3"/>
      <x:c r="E59" s="3"/>
      <x:c r="F59" s="3"/>
    </x:row>
    <x:row r="60">
      <x:c r="A60" s="3"/>
      <x:c r="B60" s="3"/>
      <x:c r="C60" s="3"/>
      <x:c r="D60" s="3"/>
      <x:c r="E60" s="3"/>
      <x:c r="F60" s="3"/>
    </x:row>
    <x:row r="61">
      <x:c r="A61" s="3"/>
      <x:c r="B61" s="3"/>
      <x:c r="C61" s="3"/>
      <x:c r="D61" s="3"/>
      <x:c r="E61" s="3"/>
      <x:c r="F61" s="3"/>
    </x:row>
    <x:row r="62">
      <x:c r="A62" s="3"/>
      <x:c r="B62" s="3"/>
      <x:c r="C62" s="3"/>
      <x:c r="D62" s="3"/>
      <x:c r="E62" s="3"/>
      <x:c r="F62" s="3"/>
    </x:row>
    <x:row r="63">
      <x:c r="A63" s="3"/>
      <x:c r="B63" s="3"/>
      <x:c r="C63" s="3"/>
      <x:c r="D63" s="3"/>
      <x:c r="E63" s="3"/>
      <x:c r="F63" s="3"/>
    </x:row>
    <x:row r="64">
      <x:c r="A64" s="3"/>
      <x:c r="B64" s="3"/>
      <x:c r="C64" s="3"/>
      <x:c r="D64" s="3"/>
      <x:c r="E64" s="3"/>
      <x:c r="F64" s="3"/>
    </x:row>
    <x:row r="65">
      <x:c r="A65" s="3"/>
      <x:c r="B65" s="3"/>
      <x:c r="C65" s="3"/>
      <x:c r="D65" s="3"/>
      <x:c r="E65" s="3"/>
      <x:c r="F65" s="3"/>
    </x:row>
    <x:row r="66">
      <x:c r="A66" s="3"/>
      <x:c r="B66" s="3"/>
      <x:c r="C66" s="3"/>
      <x:c r="D66" s="3"/>
      <x:c r="E66" s="3"/>
      <x:c r="F66" s="3"/>
    </x:row>
    <x:row r="67">
      <x:c r="A67" s="3"/>
      <x:c r="B67" s="3"/>
      <x:c r="C67" s="3"/>
      <x:c r="D67" s="3"/>
      <x:c r="E67" s="3"/>
      <x:c r="F67" s="3"/>
    </x:row>
    <x:row r="68">
      <x:c r="A68" s="3"/>
      <x:c r="B68" s="3"/>
      <x:c r="C68" s="3"/>
      <x:c r="D68" s="3"/>
      <x:c r="E68" s="3"/>
      <x:c r="F68" s="3"/>
    </x:row>
    <x:row r="69">
      <x:c r="A69" s="3"/>
      <x:c r="B69" s="3"/>
      <x:c r="C69" s="3"/>
      <x:c r="D69" s="3"/>
      <x:c r="E69" s="3"/>
      <x:c r="F69" s="3"/>
    </x:row>
    <x:row r="70">
      <x:c r="A70" s="3"/>
      <x:c r="B70" s="3"/>
      <x:c r="C70" s="3"/>
      <x:c r="D70" s="3"/>
      <x:c r="E70" s="3"/>
      <x:c r="F70" s="3"/>
    </x:row>
    <x:row r="71">
      <x:c r="A71" s="3"/>
      <x:c r="B71" s="3"/>
      <x:c r="C71" s="3"/>
      <x:c r="D71" s="3"/>
      <x:c r="E71" s="3"/>
      <x:c r="F71" s="3"/>
    </x:row>
    <x:row r="72">
      <x:c r="A72" s="3"/>
      <x:c r="B72" s="3"/>
      <x:c r="C72" s="3"/>
      <x:c r="D72" s="3"/>
      <x:c r="E72" s="3"/>
      <x:c r="F72" s="3"/>
    </x:row>
    <x:row r="73">
      <x:c r="A73" s="3"/>
      <x:c r="B73" s="3"/>
      <x:c r="C73" s="3"/>
      <x:c r="D73" s="3"/>
      <x:c r="E73" s="3"/>
      <x:c r="F73" s="3"/>
    </x:row>
    <x:row r="74">
      <x:c r="A74" s="3"/>
      <x:c r="B74" s="3"/>
      <x:c r="C74" s="3"/>
      <x:c r="D74" s="3"/>
      <x:c r="E74" s="3"/>
      <x:c r="F74" s="3"/>
    </x:row>
    <x:row r="75">
      <x:c r="A75" s="3"/>
      <x:c r="B75" s="3"/>
      <x:c r="C75" s="3"/>
      <x:c r="D75" s="3"/>
      <x:c r="E75" s="3"/>
      <x:c r="F75" s="3"/>
    </x:row>
    <x:row r="76">
      <x:c r="A76" s="3"/>
      <x:c r="B76" s="3"/>
      <x:c r="C76" s="3"/>
      <x:c r="D76" s="3"/>
      <x:c r="E76" s="3"/>
      <x:c r="F76" s="3"/>
    </x:row>
    <x:row r="77">
      <x:c r="A77" s="3"/>
      <x:c r="B77" s="3"/>
      <x:c r="C77" s="3"/>
      <x:c r="D77" s="3"/>
      <x:c r="E77" s="3"/>
      <x:c r="F77" s="3"/>
    </x:row>
    <x:row r="78">
      <x:c r="A78" s="3"/>
      <x:c r="B78" s="3"/>
      <x:c r="C78" s="3"/>
      <x:c r="D78" s="3"/>
      <x:c r="E78" s="3"/>
      <x:c r="F78" s="3"/>
    </x:row>
    <x:row r="79">
      <x:c r="A79" s="3"/>
      <x:c r="B79" s="3"/>
      <x:c r="C79" s="3"/>
      <x:c r="D79" s="3"/>
      <x:c r="E79" s="3"/>
      <x:c r="F79" s="3"/>
    </x:row>
    <x:row r="80">
      <x:c r="A80" s="3"/>
      <x:c r="B80" s="3"/>
      <x:c r="C80" s="3"/>
      <x:c r="D80" s="3"/>
      <x:c r="E80" s="3"/>
      <x:c r="F80" s="3"/>
    </x:row>
  </x:sheetData>
  <x:mergeCells>
    <x:mergeCell ref="A1:F2"/>
    <x:mergeCell ref="A3:H4"/>
    <x:mergeCell ref="A6:B6"/>
    <x:mergeCell ref="A15:B15"/>
    <x:mergeCell ref="A27:F31"/>
  </x:mergeCells>
  <x:pageMargins left="0.7" right="0.7" top="0.75" bottom="0.75" header="0.3" footer="0.3"/>
</x:worksheet>
</file>